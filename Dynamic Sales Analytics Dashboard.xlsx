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Data Analytics\EXCEL\"/>
    </mc:Choice>
  </mc:AlternateContent>
  <xr:revisionPtr revIDLastSave="0" documentId="13_ncr:1_{EEFA5B22-1269-4EAD-A289-651D7C58FA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Pivot Tables" sheetId="5" r:id="rId2"/>
    <sheet name="Dashboard" sheetId="3" r:id="rId3"/>
  </sheets>
  <definedNames>
    <definedName name="_xlcn.WorksheetConnection_ClassA20I1101" hidden="1">Data!$A$20:$I$110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  <pivotCache cacheId="8" r:id="rId12"/>
    <pivotCache cacheId="9" r:id="rId13"/>
    <pivotCache cacheId="10" r:id="rId14"/>
    <pivotCache cacheId="11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Class!$A$20:$I$110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3" l="1"/>
  <c r="A8" i="3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21" i="2"/>
  <c r="K21" i="2" a="1"/>
  <c r="K21" i="2" s="1"/>
  <c r="J8" i="3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21" i="2"/>
  <c r="O8" i="3"/>
  <c r="E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4FB0FD-4A5A-4273-8EE2-8BC13F307AC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F30DEA-439C-4F70-9965-63A466FB85BE}" name="WorksheetConnection_Class!$A$20:$I$11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lassA20I110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<sst xmlns="http://schemas.openxmlformats.org/spreadsheetml/2006/main" count="382" uniqueCount="55">
  <si>
    <t>Date</t>
  </si>
  <si>
    <t>Region</t>
  </si>
  <si>
    <t>Salesperson</t>
  </si>
  <si>
    <t>Product</t>
  </si>
  <si>
    <t>Quantity Sold</t>
  </si>
  <si>
    <t>Sales Amount</t>
  </si>
  <si>
    <t>Discount (%)</t>
  </si>
  <si>
    <t>Profit Margin (%)</t>
  </si>
  <si>
    <t>East</t>
  </si>
  <si>
    <t>Arun Kumar</t>
  </si>
  <si>
    <t>Product X</t>
  </si>
  <si>
    <t>West</t>
  </si>
  <si>
    <t>Priya Sharma</t>
  </si>
  <si>
    <t>Product Y</t>
  </si>
  <si>
    <t>North</t>
  </si>
  <si>
    <t>Rajesh Patel</t>
  </si>
  <si>
    <t>South</t>
  </si>
  <si>
    <t>Meera Reddy</t>
  </si>
  <si>
    <t>Product Z</t>
  </si>
  <si>
    <t>Sum of Sales Amount</t>
  </si>
  <si>
    <t>Row Labels</t>
  </si>
  <si>
    <t>Grand Total</t>
  </si>
  <si>
    <t>Column Labels</t>
  </si>
  <si>
    <t>Jan</t>
  </si>
  <si>
    <t>Feb</t>
  </si>
  <si>
    <t>Mar</t>
  </si>
  <si>
    <t>Sum of Quantity Sold</t>
  </si>
  <si>
    <t>Sum of Total Sales Amount</t>
  </si>
  <si>
    <t>Sum of Profit Margin (%)</t>
  </si>
  <si>
    <t>Dynamic Sales Analytics Dashboard</t>
  </si>
  <si>
    <t>By:J.Indira Priya Dharshini</t>
  </si>
  <si>
    <t>Highest Sold Product</t>
  </si>
  <si>
    <t>Sales Person with Highest Sales Amount</t>
  </si>
  <si>
    <t>Max Quantity Sold And it's Month</t>
  </si>
  <si>
    <t>Region With Highest total sales amount</t>
  </si>
  <si>
    <t>Month</t>
  </si>
  <si>
    <t>Total Sales amount</t>
  </si>
  <si>
    <t>Total Sales</t>
  </si>
  <si>
    <t xml:space="preserve"> Profit Amount </t>
  </si>
  <si>
    <t xml:space="preserve"> Net Sales Amount</t>
  </si>
  <si>
    <t>Profit after Discount</t>
  </si>
  <si>
    <t xml:space="preserve"> </t>
  </si>
  <si>
    <t>Date and Quantity Sold</t>
  </si>
  <si>
    <t>Product and Sales Amount</t>
  </si>
  <si>
    <t>Dates and Sales Amount</t>
  </si>
  <si>
    <t>Region and Total Sales</t>
  </si>
  <si>
    <t>Region and Quantity Sold</t>
  </si>
  <si>
    <t>Sales Person and Profit Margin</t>
  </si>
  <si>
    <t>Product and Quantity Sold</t>
  </si>
  <si>
    <t>Region,Date and Quantity Sold</t>
  </si>
  <si>
    <t>Date (month) and Sales Amount</t>
  </si>
  <si>
    <t>Sales Amount and Product</t>
  </si>
  <si>
    <t>Product and Profit Margin</t>
  </si>
  <si>
    <t>Pivot Tables For Graphs in Dashboard</t>
  </si>
  <si>
    <t>Jyothi Indira Priya Dharshini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</si>
</sst>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4"/>
      <color rgb="FFFFFF00"/>
      <name val="Arial Black"/>
      <family val="2"/>
    </font>
    <font>
      <b/>
      <sz val="28"/>
      <color theme="0"/>
      <name val="Arial Black"/>
      <family val="2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theme="8" tint="-0.249977111117893"/>
      </left>
      <right style="double">
        <color theme="8" tint="-0.249977111117893"/>
      </right>
      <top style="double">
        <color theme="8" tint="-0.249977111117893"/>
      </top>
      <bottom style="double">
        <color theme="8" tint="-0.249977111117893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7" borderId="0" xfId="0" applyFill="1"/>
    <xf numFmtId="0" fontId="8" fillId="8" borderId="3" xfId="0" applyFont="1" applyFill="1" applyBorder="1" applyAlignment="1">
      <alignment vertical="center"/>
    </xf>
    <xf numFmtId="0" fontId="8" fillId="8" borderId="0" xfId="0" applyFont="1" applyFill="1" applyAlignment="1">
      <alignment vertical="center"/>
    </xf>
    <xf numFmtId="0" fontId="8" fillId="8" borderId="2" xfId="0" applyFont="1" applyFill="1" applyBorder="1" applyAlignment="1">
      <alignment vertical="center"/>
    </xf>
    <xf numFmtId="0" fontId="0" fillId="0" borderId="5" xfId="0" pivotButton="1" applyBorder="1"/>
    <xf numFmtId="0" fontId="0" fillId="0" borderId="6" xfId="0" applyBorder="1"/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5" xfId="0" applyBorder="1"/>
    <xf numFmtId="0" fontId="0" fillId="0" borderId="0" xfId="0" pivotButton="1"/>
    <xf numFmtId="0" fontId="0" fillId="0" borderId="7" xfId="0" applyBorder="1"/>
    <xf numFmtId="0" fontId="0" fillId="0" borderId="12" xfId="0" applyBorder="1"/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0" fillId="4" borderId="0" xfId="0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top" wrapText="1"/>
    </xf>
    <xf numFmtId="0" fontId="0" fillId="4" borderId="0" xfId="0" applyFill="1" applyAlignment="1">
      <alignment horizontal="center" vertical="top" wrapText="1"/>
    </xf>
    <xf numFmtId="0" fontId="7" fillId="6" borderId="1" xfId="0" applyFont="1" applyFill="1" applyBorder="1" applyAlignment="1">
      <alignment horizontal="center" wrapText="1"/>
    </xf>
    <xf numFmtId="0" fontId="7" fillId="6" borderId="4" xfId="0" applyFont="1" applyFill="1" applyBorder="1" applyAlignment="1">
      <alignment horizontal="center" wrapText="1"/>
    </xf>
    <xf numFmtId="0" fontId="6" fillId="6" borderId="0" xfId="0" applyFont="1" applyFill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 wrapText="1"/>
    </xf>
    <xf numFmtId="0" fontId="7" fillId="6" borderId="0" xfId="0" applyFont="1" applyFill="1" applyAlignment="1">
      <alignment horizontal="center" wrapText="1"/>
    </xf>
    <xf numFmtId="0" fontId="7" fillId="6" borderId="2" xfId="0" applyFont="1" applyFill="1" applyBorder="1" applyAlignment="1">
      <alignment horizontal="center" wrapText="1"/>
    </xf>
    <xf numFmtId="0" fontId="6" fillId="8" borderId="3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1" fillId="9" borderId="13" xfId="0" applyFont="1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76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10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5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2.xml"/><Relationship Id="rId10" Type="http://schemas.openxmlformats.org/officeDocument/2006/relationships/pivotCacheDefinition" Target="pivotCache/pivotCacheDefinition7.xml"/><Relationship Id="rId19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[Dynamic Sales Analytics Dashboard.xlsx]Pivot Tables!PivotTable3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sold vs Dates</a:t>
            </a:r>
            <a:endParaRPr lang="en-US"/>
          </a:p>
        </c:rich>
      </c:tx>
      <c:layout>
        <c:manualLayout>
          <c:xMode val="edge"/>
          <c:yMode val="edge"/>
          <c:x val="0.3080126874750066"/>
          <c:y val="6.8992703092105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Tables'!$D$4:$D$7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Tables'!$E$4:$E$7</c:f>
              <c:numCache>
                <c:formatCode>General</c:formatCode>
                <c:ptCount val="3"/>
                <c:pt idx="0">
                  <c:v>4980</c:v>
                </c:pt>
                <c:pt idx="1">
                  <c:v>4820</c:v>
                </c:pt>
                <c:pt idx="2">
                  <c:v>5310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8-4D8C-B425-4CF789F47B8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98564719"/>
        <c:axId val="1798565199"/>
      </c:lineChart>
      <c:catAx>
        <c:axId val="1798564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Date(Month)</a:t>
                </a:r>
              </a:p>
            </c:rich>
          </c:tx>
          <c:layout>
            <c:manualLayout>
              <c:xMode val="edge"/>
              <c:yMode val="edge"/>
              <c:x val="0.41387891089939788"/>
              <c:y val="0.874419827053139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565199"/>
        <c:crosses val="autoZero"/>
        <c:auto val="1"/>
        <c:lblAlgn val="ctr"/>
        <c:lblOffset val="100"/>
        <c:noMultiLvlLbl val="0"/>
      </c:catAx>
      <c:valAx>
        <c:axId val="179856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  <a:r>
                  <a:rPr lang="en-US" baseline="0"/>
                  <a:t> Sold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5647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[Dynamic Sales Analytics Dashboard.xlsx]Pivot Tables!PivotTable4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>
                <a:latin typeface="+mn-lt"/>
              </a:rPr>
              <a:t>Sales</a:t>
            </a:r>
            <a:r>
              <a:rPr lang="en-US" b="1" baseline="0">
                <a:latin typeface="+mn-lt"/>
              </a:rPr>
              <a:t> Amnt vs Dates</a:t>
            </a:r>
            <a:endParaRPr lang="en-US" b="1">
              <a:latin typeface="+mn-lt"/>
            </a:endParaRPr>
          </a:p>
        </c:rich>
      </c:tx>
      <c:layout>
        <c:manualLayout>
          <c:xMode val="edge"/>
          <c:yMode val="edge"/>
          <c:x val="0.31080012180335131"/>
          <c:y val="7.75359367735298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Tables'!$G$4:$G$7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Tables'!$H$4:$H$7</c:f>
              <c:numCache>
                <c:formatCode>General</c:formatCode>
                <c:ptCount val="3"/>
                <c:pt idx="0">
                  <c:v>99600</c:v>
                </c:pt>
                <c:pt idx="1">
                  <c:v>96400</c:v>
                </c:pt>
                <c:pt idx="2">
                  <c:v>106200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2-4DBE-A18C-2464EEAC9A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700791391"/>
        <c:axId val="1700786591"/>
      </c:areaChart>
      <c:catAx>
        <c:axId val="1700791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786591"/>
        <c:crosses val="autoZero"/>
        <c:auto val="1"/>
        <c:lblAlgn val="ctr"/>
        <c:lblOffset val="100"/>
        <c:noMultiLvlLbl val="0"/>
      </c:catAx>
      <c:valAx>
        <c:axId val="17007865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Amount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791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[Dynamic Sales Analytics Dashboard.xlsx]Pivot Tables!PivotTable5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vs Total Sales Amnt</a:t>
            </a:r>
            <a:endParaRPr lang="en-US"/>
          </a:p>
        </c:rich>
      </c:tx>
      <c:layout>
        <c:manualLayout>
          <c:xMode val="edge"/>
          <c:yMode val="edge"/>
          <c:x val="0.26193137790683446"/>
          <c:y val="0.108062670167801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Tables'!$A$11:$A$15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Tables'!$B$11:$B$15</c:f>
              <c:numCache>
                <c:formatCode>General</c:formatCode>
                <c:ptCount val="4"/>
                <c:pt idx="0">
                  <c:v>11466000</c:v>
                </c:pt>
                <c:pt idx="1">
                  <c:v>12568000</c:v>
                </c:pt>
                <c:pt idx="2">
                  <c:v>16472000</c:v>
                </c:pt>
                <c:pt idx="3">
                  <c:v>12020000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C-452E-8641-777B1D2AC0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447179919"/>
        <c:axId val="1447180879"/>
      </c:barChart>
      <c:catAx>
        <c:axId val="1447179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180879"/>
        <c:crosses val="autoZero"/>
        <c:auto val="1"/>
        <c:lblAlgn val="ctr"/>
        <c:lblOffset val="100"/>
        <c:noMultiLvlLbl val="0"/>
      </c:catAx>
      <c:valAx>
        <c:axId val="1447180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Amount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17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[Dynamic Sales Analytics Dashboard.xlsx]Pivot Tables!PivotTable6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Sold vs Region</a:t>
            </a:r>
            <a:endParaRPr lang="en-US"/>
          </a:p>
        </c:rich>
      </c:tx>
      <c:layout>
        <c:manualLayout>
          <c:xMode val="edge"/>
          <c:yMode val="edge"/>
          <c:x val="0.23067309405382141"/>
          <c:y val="9.95988161064333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Tables'!$E$10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E27-4039-8682-12FCEF8B1EF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E27-4039-8682-12FCEF8B1EF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E27-4039-8682-12FCEF8B1EF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E27-4039-8682-12FCEF8B1E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Tables'!$D$11:$D$15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Tables'!$E$11:$E$15</c:f>
              <c:numCache>
                <c:formatCode>General</c:formatCode>
                <c:ptCount val="4"/>
                <c:pt idx="0">
                  <c:v>3570</c:v>
                </c:pt>
                <c:pt idx="1">
                  <c:v>3660</c:v>
                </c:pt>
                <c:pt idx="2">
                  <c:v>4200</c:v>
                </c:pt>
                <c:pt idx="3">
                  <c:v>3680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27-4039-8682-12FCEF8B1EF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[Dynamic Sales Analytics Dashboard.xlsx]Pivot Tables!PivotTable7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Margin vs Salesperson</a:t>
            </a:r>
            <a:endParaRPr lang="en-US"/>
          </a:p>
        </c:rich>
      </c:tx>
      <c:layout>
        <c:manualLayout>
          <c:xMode val="edge"/>
          <c:yMode val="edge"/>
          <c:x val="0.24405667328919764"/>
          <c:y val="0.10806270727471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Tables'!$G$11:$G$15</c:f>
              <c:strCache>
                <c:ptCount val="4"/>
                <c:pt idx="0">
                  <c:v>Arun Kumar</c:v>
                </c:pt>
                <c:pt idx="1">
                  <c:v>Meera Reddy</c:v>
                </c:pt>
                <c:pt idx="2">
                  <c:v>Priya Sharma</c:v>
                </c:pt>
                <c:pt idx="3">
                  <c:v>Rajesh Patel</c:v>
                </c:pt>
              </c:strCache>
            </c:strRef>
          </c:cat>
          <c:val>
            <c:numRef>
              <c:f>'Pivot Tables'!$H$11:$H$15</c:f>
              <c:numCache>
                <c:formatCode>General</c:formatCode>
                <c:ptCount val="4"/>
                <c:pt idx="0">
                  <c:v>532</c:v>
                </c:pt>
                <c:pt idx="1">
                  <c:v>598</c:v>
                </c:pt>
                <c:pt idx="2">
                  <c:v>524</c:v>
                </c:pt>
                <c:pt idx="3">
                  <c:v>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2-4576-B05A-C98B0D4D32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88429471"/>
        <c:axId val="488431391"/>
      </c:barChart>
      <c:catAx>
        <c:axId val="488429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Person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3406613655081283"/>
              <c:y val="0.854617905493635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431391"/>
        <c:crosses val="autoZero"/>
        <c:auto val="1"/>
        <c:lblAlgn val="ctr"/>
        <c:lblOffset val="100"/>
        <c:noMultiLvlLbl val="0"/>
      </c:catAx>
      <c:valAx>
        <c:axId val="48843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  <a:r>
                  <a:rPr lang="en-US" baseline="0"/>
                  <a:t> Margin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42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[Dynamic Sales Analytics Dashboard.xlsx]Pivot Tables!PivotTable8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vs Sales amnt</a:t>
            </a:r>
            <a:endParaRPr lang="en-US"/>
          </a:p>
        </c:rich>
      </c:tx>
      <c:layout>
        <c:manualLayout>
          <c:xMode val="edge"/>
          <c:yMode val="edge"/>
          <c:x val="0.27358516921321357"/>
          <c:y val="0.103167163599891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Tables'!$B$18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Tables'!$A$19:$A$22</c:f>
              <c:strCache>
                <c:ptCount val="3"/>
                <c:pt idx="0">
                  <c:v>Product X</c:v>
                </c:pt>
                <c:pt idx="1">
                  <c:v>Product Y</c:v>
                </c:pt>
                <c:pt idx="2">
                  <c:v>Product Z</c:v>
                </c:pt>
              </c:strCache>
            </c:strRef>
          </c:cat>
          <c:val>
            <c:numRef>
              <c:f>'Pivot Tables'!$B$19:$B$22</c:f>
              <c:numCache>
                <c:formatCode>General</c:formatCode>
                <c:ptCount val="3"/>
                <c:pt idx="0">
                  <c:v>88200</c:v>
                </c:pt>
                <c:pt idx="1">
                  <c:v>103400</c:v>
                </c:pt>
                <c:pt idx="2">
                  <c:v>110600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6-4BE8-8262-4B0778609F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89337135"/>
        <c:axId val="489339055"/>
      </c:barChart>
      <c:catAx>
        <c:axId val="4893371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339055"/>
        <c:crosses val="autoZero"/>
        <c:auto val="1"/>
        <c:lblAlgn val="ctr"/>
        <c:lblOffset val="100"/>
        <c:noMultiLvlLbl val="0"/>
      </c:catAx>
      <c:valAx>
        <c:axId val="48933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Amount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33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[Dynamic Sales Analytics Dashboard.xlsx]Pivot Tables!PivotTable9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vs Quantity Sold</a:t>
            </a:r>
            <a:endParaRPr lang="en-US"/>
          </a:p>
        </c:rich>
      </c:tx>
      <c:layout>
        <c:manualLayout>
          <c:xMode val="edge"/>
          <c:yMode val="edge"/>
          <c:x val="0.24534011373578302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Tables'!$E$18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F0A-41EF-B042-DCA4DFBBE46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F0A-41EF-B042-DCA4DFBBE46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F0A-41EF-B042-DCA4DFBBE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Tables'!$D$19:$D$22</c:f>
              <c:strCache>
                <c:ptCount val="3"/>
                <c:pt idx="0">
                  <c:v>Product X</c:v>
                </c:pt>
                <c:pt idx="1">
                  <c:v>Product Y</c:v>
                </c:pt>
                <c:pt idx="2">
                  <c:v>Product Z</c:v>
                </c:pt>
              </c:strCache>
            </c:strRef>
          </c:cat>
          <c:val>
            <c:numRef>
              <c:f>'Pivot Tables'!$E$19:$E$22</c:f>
              <c:numCache>
                <c:formatCode>General</c:formatCode>
                <c:ptCount val="3"/>
                <c:pt idx="0">
                  <c:v>4410</c:v>
                </c:pt>
                <c:pt idx="1">
                  <c:v>5170</c:v>
                </c:pt>
                <c:pt idx="2">
                  <c:v>5530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0A-41EF-B042-DCA4DFBBE46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[Dynamic Sales Analytics Dashboard.xlsx]Pivot Tables!PivotTable10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Quantity Sold over time by Region</a:t>
            </a:r>
          </a:p>
        </c:rich>
      </c:tx>
      <c:layout>
        <c:manualLayout>
          <c:xMode val="edge"/>
          <c:yMode val="edge"/>
          <c:x val="0.15851719584933743"/>
          <c:y val="8.6481841567469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83052343426302"/>
          <c:y val="0.18936183837259904"/>
          <c:w val="0.69459707360574818"/>
          <c:h val="0.6008653004004603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Tables'!$H$18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Tables'!$G$19:$G$23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Tables'!$H$19:$H$23</c:f>
              <c:numCache>
                <c:formatCode>General</c:formatCode>
                <c:ptCount val="4"/>
                <c:pt idx="0">
                  <c:v>3570</c:v>
                </c:pt>
                <c:pt idx="1">
                  <c:v>3660</c:v>
                </c:pt>
                <c:pt idx="2">
                  <c:v>4200</c:v>
                </c:pt>
                <c:pt idx="3">
                  <c:v>3680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AB-4344-9EC6-80D298065F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8751615"/>
        <c:axId val="558760735"/>
      </c:lineChart>
      <c:catAx>
        <c:axId val="558751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layout>
            <c:manualLayout>
              <c:xMode val="edge"/>
              <c:yMode val="edge"/>
              <c:x val="0.45793458420585953"/>
              <c:y val="0.904773577318622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760735"/>
        <c:crosses val="autoZero"/>
        <c:auto val="1"/>
        <c:lblAlgn val="ctr"/>
        <c:lblOffset val="100"/>
        <c:noMultiLvlLbl val="0"/>
      </c:catAx>
      <c:valAx>
        <c:axId val="55876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  <a:r>
                  <a:rPr lang="en-US" baseline="0"/>
                  <a:t> Sold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7516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[Dynamic Sales Analytics Dashboard.xlsx]Pivot Tables!PivotTable11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Amount over time</a:t>
            </a:r>
          </a:p>
        </c:rich>
      </c:tx>
      <c:layout>
        <c:manualLayout>
          <c:xMode val="edge"/>
          <c:yMode val="edge"/>
          <c:x val="0.28556268811327989"/>
          <c:y val="0.1127156625195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747824207375263"/>
          <c:y val="0.25931866583765228"/>
          <c:w val="0.59000236543528084"/>
          <c:h val="0.551871238364362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Tables'!$B$25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Tables'!$A$26:$A$29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Tables'!$B$26:$B$29</c:f>
              <c:numCache>
                <c:formatCode>General</c:formatCode>
                <c:ptCount val="3"/>
                <c:pt idx="0">
                  <c:v>99600</c:v>
                </c:pt>
                <c:pt idx="1">
                  <c:v>96400</c:v>
                </c:pt>
                <c:pt idx="2">
                  <c:v>106200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5-4D1F-8AF1-48B7384746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80277775"/>
        <c:axId val="480274415"/>
      </c:barChart>
      <c:catAx>
        <c:axId val="480277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274415"/>
        <c:crosses val="autoZero"/>
        <c:auto val="1"/>
        <c:lblAlgn val="ctr"/>
        <c:lblOffset val="100"/>
        <c:noMultiLvlLbl val="0"/>
      </c:catAx>
      <c:valAx>
        <c:axId val="48027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Amount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27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[Dynamic Sales Analytics Dashboard.xlsx]Pivot Tables!PivotTable12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amnt vs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Tables'!$E$26:$E$27</c:f>
              <c:strCache>
                <c:ptCount val="1"/>
                <c:pt idx="0">
                  <c:v>Product X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Tables'!$D$28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Tables'!$E$28</c:f>
              <c:numCache>
                <c:formatCode>General</c:formatCode>
                <c:ptCount val="1"/>
                <c:pt idx="0">
                  <c:v>88200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B-4A95-BD5C-96791DE015A8}"/>
            </c:ext>
          </c:extLst>
        </c:ser>
        <c:ser>
          <c:idx val="1"/>
          <c:order val="1"/>
          <c:tx>
            <c:strRef>
              <c:f>'Pivot Tables'!$F$26:$F$27</c:f>
              <c:strCache>
                <c:ptCount val="1"/>
                <c:pt idx="0">
                  <c:v>Product 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Tables'!$D$28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Tables'!$F$28</c:f>
              <c:numCache>
                <c:formatCode>General</c:formatCode>
                <c:ptCount val="1"/>
                <c:pt idx="0">
                  <c:v>103400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2B-4A95-BD5C-96791DE015A8}"/>
            </c:ext>
          </c:extLst>
        </c:ser>
        <c:ser>
          <c:idx val="2"/>
          <c:order val="2"/>
          <c:tx>
            <c:strRef>
              <c:f>'Pivot Tables'!$G$26:$G$27</c:f>
              <c:strCache>
                <c:ptCount val="1"/>
                <c:pt idx="0">
                  <c:v>Product Z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Tables'!$D$28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Tables'!$G$28</c:f>
              <c:numCache>
                <c:formatCode>General</c:formatCode>
                <c:ptCount val="1"/>
                <c:pt idx="0">
                  <c:v>110600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2B-4A95-BD5C-96791DE015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43484191"/>
        <c:axId val="1843486111"/>
      </c:barChart>
      <c:catAx>
        <c:axId val="1843484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486111"/>
        <c:crosses val="autoZero"/>
        <c:auto val="1"/>
        <c:lblAlgn val="ctr"/>
        <c:lblOffset val="100"/>
        <c:noMultiLvlLbl val="0"/>
      </c:catAx>
      <c:valAx>
        <c:axId val="1843486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Amount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484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Discount % vs Sales Amnt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36129634432184"/>
          <c:y val="0.1184454327434524"/>
          <c:w val="0.83012914699198859"/>
          <c:h val="0.6926790591925924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Data!$F$21:$F$110</c:f>
              <c:numCache>
                <c:formatCode>General</c:formatCode>
                <c:ptCount val="90"/>
                <c:pt idx="0">
                  <c:v>3000</c:v>
                </c:pt>
                <c:pt idx="1">
                  <c:v>4000</c:v>
                </c:pt>
                <c:pt idx="2">
                  <c:v>2400</c:v>
                </c:pt>
                <c:pt idx="3">
                  <c:v>5000</c:v>
                </c:pt>
                <c:pt idx="4">
                  <c:v>2000</c:v>
                </c:pt>
                <c:pt idx="5">
                  <c:v>3600</c:v>
                </c:pt>
                <c:pt idx="6">
                  <c:v>3000</c:v>
                </c:pt>
                <c:pt idx="7">
                  <c:v>4000</c:v>
                </c:pt>
                <c:pt idx="8">
                  <c:v>3400</c:v>
                </c:pt>
                <c:pt idx="9">
                  <c:v>2600</c:v>
                </c:pt>
                <c:pt idx="10">
                  <c:v>3200</c:v>
                </c:pt>
                <c:pt idx="11">
                  <c:v>3600</c:v>
                </c:pt>
                <c:pt idx="12">
                  <c:v>2800</c:v>
                </c:pt>
                <c:pt idx="13">
                  <c:v>3000</c:v>
                </c:pt>
                <c:pt idx="14">
                  <c:v>3800</c:v>
                </c:pt>
                <c:pt idx="15">
                  <c:v>4200</c:v>
                </c:pt>
                <c:pt idx="16">
                  <c:v>3200</c:v>
                </c:pt>
                <c:pt idx="17">
                  <c:v>3400</c:v>
                </c:pt>
                <c:pt idx="18">
                  <c:v>2800</c:v>
                </c:pt>
                <c:pt idx="19">
                  <c:v>4400</c:v>
                </c:pt>
                <c:pt idx="20">
                  <c:v>2600</c:v>
                </c:pt>
                <c:pt idx="21">
                  <c:v>2800</c:v>
                </c:pt>
                <c:pt idx="22">
                  <c:v>3800</c:v>
                </c:pt>
                <c:pt idx="23">
                  <c:v>3200</c:v>
                </c:pt>
                <c:pt idx="24">
                  <c:v>3600</c:v>
                </c:pt>
                <c:pt idx="25">
                  <c:v>3400</c:v>
                </c:pt>
                <c:pt idx="26">
                  <c:v>4000</c:v>
                </c:pt>
                <c:pt idx="27">
                  <c:v>3000</c:v>
                </c:pt>
                <c:pt idx="28">
                  <c:v>2200</c:v>
                </c:pt>
                <c:pt idx="29">
                  <c:v>3600</c:v>
                </c:pt>
                <c:pt idx="30">
                  <c:v>3200</c:v>
                </c:pt>
                <c:pt idx="31">
                  <c:v>2800</c:v>
                </c:pt>
                <c:pt idx="32">
                  <c:v>2200</c:v>
                </c:pt>
                <c:pt idx="33">
                  <c:v>4600</c:v>
                </c:pt>
                <c:pt idx="34">
                  <c:v>3800</c:v>
                </c:pt>
                <c:pt idx="35">
                  <c:v>2800</c:v>
                </c:pt>
                <c:pt idx="36">
                  <c:v>3200</c:v>
                </c:pt>
                <c:pt idx="37">
                  <c:v>4400</c:v>
                </c:pt>
                <c:pt idx="38">
                  <c:v>2800</c:v>
                </c:pt>
                <c:pt idx="39">
                  <c:v>2400</c:v>
                </c:pt>
                <c:pt idx="40">
                  <c:v>3400</c:v>
                </c:pt>
                <c:pt idx="41">
                  <c:v>4000</c:v>
                </c:pt>
                <c:pt idx="42">
                  <c:v>3000</c:v>
                </c:pt>
                <c:pt idx="43">
                  <c:v>3600</c:v>
                </c:pt>
                <c:pt idx="44">
                  <c:v>2600</c:v>
                </c:pt>
                <c:pt idx="45">
                  <c:v>3800</c:v>
                </c:pt>
                <c:pt idx="46">
                  <c:v>4200</c:v>
                </c:pt>
                <c:pt idx="47">
                  <c:v>3200</c:v>
                </c:pt>
                <c:pt idx="48">
                  <c:v>3600</c:v>
                </c:pt>
                <c:pt idx="49">
                  <c:v>3400</c:v>
                </c:pt>
                <c:pt idx="50">
                  <c:v>3000</c:v>
                </c:pt>
                <c:pt idx="51">
                  <c:v>2800</c:v>
                </c:pt>
                <c:pt idx="52">
                  <c:v>4000</c:v>
                </c:pt>
                <c:pt idx="53">
                  <c:v>3400</c:v>
                </c:pt>
                <c:pt idx="54">
                  <c:v>2400</c:v>
                </c:pt>
                <c:pt idx="55">
                  <c:v>3800</c:v>
                </c:pt>
                <c:pt idx="56">
                  <c:v>2800</c:v>
                </c:pt>
                <c:pt idx="57">
                  <c:v>4000</c:v>
                </c:pt>
                <c:pt idx="58">
                  <c:v>3200</c:v>
                </c:pt>
                <c:pt idx="59">
                  <c:v>3600</c:v>
                </c:pt>
                <c:pt idx="60">
                  <c:v>4400</c:v>
                </c:pt>
                <c:pt idx="61">
                  <c:v>4600</c:v>
                </c:pt>
                <c:pt idx="62">
                  <c:v>2200</c:v>
                </c:pt>
                <c:pt idx="63">
                  <c:v>2600</c:v>
                </c:pt>
                <c:pt idx="64">
                  <c:v>3000</c:v>
                </c:pt>
                <c:pt idx="65">
                  <c:v>2800</c:v>
                </c:pt>
                <c:pt idx="66">
                  <c:v>3400</c:v>
                </c:pt>
                <c:pt idx="67">
                  <c:v>3200</c:v>
                </c:pt>
                <c:pt idx="68">
                  <c:v>3600</c:v>
                </c:pt>
                <c:pt idx="69">
                  <c:v>3000</c:v>
                </c:pt>
                <c:pt idx="70">
                  <c:v>4000</c:v>
                </c:pt>
                <c:pt idx="71">
                  <c:v>2800</c:v>
                </c:pt>
                <c:pt idx="72">
                  <c:v>3200</c:v>
                </c:pt>
                <c:pt idx="73">
                  <c:v>3800</c:v>
                </c:pt>
                <c:pt idx="74">
                  <c:v>4000</c:v>
                </c:pt>
                <c:pt idx="75">
                  <c:v>3600</c:v>
                </c:pt>
                <c:pt idx="76">
                  <c:v>2800</c:v>
                </c:pt>
                <c:pt idx="77">
                  <c:v>4400</c:v>
                </c:pt>
                <c:pt idx="78">
                  <c:v>3000</c:v>
                </c:pt>
                <c:pt idx="79">
                  <c:v>3200</c:v>
                </c:pt>
                <c:pt idx="80">
                  <c:v>3800</c:v>
                </c:pt>
                <c:pt idx="81">
                  <c:v>4200</c:v>
                </c:pt>
                <c:pt idx="82">
                  <c:v>3400</c:v>
                </c:pt>
                <c:pt idx="83">
                  <c:v>2800</c:v>
                </c:pt>
                <c:pt idx="84">
                  <c:v>4400</c:v>
                </c:pt>
                <c:pt idx="85">
                  <c:v>2600</c:v>
                </c:pt>
                <c:pt idx="86">
                  <c:v>3000</c:v>
                </c:pt>
                <c:pt idx="87">
                  <c:v>4000</c:v>
                </c:pt>
                <c:pt idx="88">
                  <c:v>3200</c:v>
                </c:pt>
                <c:pt idx="89">
                  <c:v>3600</c:v>
                </c:pt>
              </c:numCache>
            </c:numRef>
          </c:xVal>
          <c:yVal>
            <c:numRef>
              <c:f>Data!$G$21:$G$110</c:f>
              <c:numCache>
                <c:formatCode>General</c:formatCode>
                <c:ptCount val="90"/>
                <c:pt idx="0">
                  <c:v>10</c:v>
                </c:pt>
                <c:pt idx="1">
                  <c:v>15</c:v>
                </c:pt>
                <c:pt idx="2">
                  <c:v>5</c:v>
                </c:pt>
                <c:pt idx="3">
                  <c:v>20</c:v>
                </c:pt>
                <c:pt idx="4">
                  <c:v>10</c:v>
                </c:pt>
                <c:pt idx="5">
                  <c:v>12</c:v>
                </c:pt>
                <c:pt idx="6">
                  <c:v>8</c:v>
                </c:pt>
                <c:pt idx="7">
                  <c:v>15</c:v>
                </c:pt>
                <c:pt idx="8">
                  <c:v>18</c:v>
                </c:pt>
                <c:pt idx="9">
                  <c:v>10</c:v>
                </c:pt>
                <c:pt idx="10">
                  <c:v>5</c:v>
                </c:pt>
                <c:pt idx="11">
                  <c:v>12</c:v>
                </c:pt>
                <c:pt idx="12">
                  <c:v>11</c:v>
                </c:pt>
                <c:pt idx="13">
                  <c:v>8</c:v>
                </c:pt>
                <c:pt idx="14">
                  <c:v>7</c:v>
                </c:pt>
                <c:pt idx="15">
                  <c:v>16</c:v>
                </c:pt>
                <c:pt idx="16">
                  <c:v>12</c:v>
                </c:pt>
                <c:pt idx="17">
                  <c:v>14</c:v>
                </c:pt>
                <c:pt idx="18">
                  <c:v>6</c:v>
                </c:pt>
                <c:pt idx="19">
                  <c:v>18</c:v>
                </c:pt>
                <c:pt idx="20">
                  <c:v>11</c:v>
                </c:pt>
                <c:pt idx="21">
                  <c:v>9</c:v>
                </c:pt>
                <c:pt idx="22">
                  <c:v>10</c:v>
                </c:pt>
                <c:pt idx="23">
                  <c:v>13</c:v>
                </c:pt>
                <c:pt idx="24">
                  <c:v>15</c:v>
                </c:pt>
                <c:pt idx="25">
                  <c:v>8</c:v>
                </c:pt>
                <c:pt idx="26">
                  <c:v>12</c:v>
                </c:pt>
                <c:pt idx="27">
                  <c:v>16</c:v>
                </c:pt>
                <c:pt idx="28">
                  <c:v>14</c:v>
                </c:pt>
                <c:pt idx="29">
                  <c:v>11</c:v>
                </c:pt>
                <c:pt idx="30">
                  <c:v>12</c:v>
                </c:pt>
                <c:pt idx="31">
                  <c:v>14</c:v>
                </c:pt>
                <c:pt idx="32">
                  <c:v>8</c:v>
                </c:pt>
                <c:pt idx="33">
                  <c:v>10</c:v>
                </c:pt>
                <c:pt idx="34">
                  <c:v>15</c:v>
                </c:pt>
                <c:pt idx="35">
                  <c:v>11</c:v>
                </c:pt>
                <c:pt idx="36">
                  <c:v>7</c:v>
                </c:pt>
                <c:pt idx="37">
                  <c:v>18</c:v>
                </c:pt>
                <c:pt idx="38">
                  <c:v>12</c:v>
                </c:pt>
                <c:pt idx="39">
                  <c:v>10</c:v>
                </c:pt>
                <c:pt idx="40">
                  <c:v>9</c:v>
                </c:pt>
                <c:pt idx="41">
                  <c:v>14</c:v>
                </c:pt>
                <c:pt idx="42">
                  <c:v>11</c:v>
                </c:pt>
                <c:pt idx="43">
                  <c:v>16</c:v>
                </c:pt>
                <c:pt idx="44">
                  <c:v>6</c:v>
                </c:pt>
                <c:pt idx="45">
                  <c:v>12</c:v>
                </c:pt>
                <c:pt idx="46">
                  <c:v>17</c:v>
                </c:pt>
                <c:pt idx="47">
                  <c:v>8</c:v>
                </c:pt>
                <c:pt idx="48">
                  <c:v>9</c:v>
                </c:pt>
                <c:pt idx="49">
                  <c:v>14</c:v>
                </c:pt>
                <c:pt idx="50">
                  <c:v>13</c:v>
                </c:pt>
                <c:pt idx="51">
                  <c:v>12</c:v>
                </c:pt>
                <c:pt idx="52">
                  <c:v>10</c:v>
                </c:pt>
                <c:pt idx="53">
                  <c:v>15</c:v>
                </c:pt>
                <c:pt idx="54">
                  <c:v>14</c:v>
                </c:pt>
                <c:pt idx="55">
                  <c:v>11</c:v>
                </c:pt>
                <c:pt idx="56">
                  <c:v>7</c:v>
                </c:pt>
                <c:pt idx="57">
                  <c:v>16</c:v>
                </c:pt>
                <c:pt idx="58">
                  <c:v>13</c:v>
                </c:pt>
                <c:pt idx="59">
                  <c:v>10</c:v>
                </c:pt>
                <c:pt idx="60">
                  <c:v>9</c:v>
                </c:pt>
                <c:pt idx="61">
                  <c:v>17</c:v>
                </c:pt>
                <c:pt idx="62">
                  <c:v>11</c:v>
                </c:pt>
                <c:pt idx="63">
                  <c:v>8</c:v>
                </c:pt>
                <c:pt idx="64">
                  <c:v>12</c:v>
                </c:pt>
                <c:pt idx="65">
                  <c:v>13</c:v>
                </c:pt>
                <c:pt idx="66">
                  <c:v>14</c:v>
                </c:pt>
                <c:pt idx="67">
                  <c:v>16</c:v>
                </c:pt>
                <c:pt idx="68">
                  <c:v>10</c:v>
                </c:pt>
                <c:pt idx="69">
                  <c:v>15</c:v>
                </c:pt>
                <c:pt idx="70">
                  <c:v>12</c:v>
                </c:pt>
                <c:pt idx="71">
                  <c:v>11</c:v>
                </c:pt>
                <c:pt idx="72">
                  <c:v>9</c:v>
                </c:pt>
                <c:pt idx="73">
                  <c:v>13</c:v>
                </c:pt>
                <c:pt idx="74">
                  <c:v>16</c:v>
                </c:pt>
                <c:pt idx="75">
                  <c:v>15</c:v>
                </c:pt>
                <c:pt idx="76">
                  <c:v>6</c:v>
                </c:pt>
                <c:pt idx="77">
                  <c:v>18</c:v>
                </c:pt>
                <c:pt idx="78">
                  <c:v>14</c:v>
                </c:pt>
                <c:pt idx="79">
                  <c:v>13</c:v>
                </c:pt>
                <c:pt idx="80">
                  <c:v>12</c:v>
                </c:pt>
                <c:pt idx="81">
                  <c:v>16</c:v>
                </c:pt>
                <c:pt idx="82">
                  <c:v>15</c:v>
                </c:pt>
                <c:pt idx="83">
                  <c:v>10</c:v>
                </c:pt>
                <c:pt idx="84">
                  <c:v>14</c:v>
                </c:pt>
                <c:pt idx="85">
                  <c:v>12</c:v>
                </c:pt>
                <c:pt idx="86">
                  <c:v>13</c:v>
                </c:pt>
                <c:pt idx="87">
                  <c:v>11</c:v>
                </c:pt>
                <c:pt idx="88">
                  <c:v>8</c:v>
                </c:pt>
                <c:pt idx="89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12-43FD-B4A3-F7C14C7D8EB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89836415"/>
        <c:axId val="489835935"/>
      </c:scatterChart>
      <c:valAx>
        <c:axId val="48983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Amont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35935"/>
        <c:crosses val="autoZero"/>
        <c:crossBetween val="midCat"/>
      </c:valAx>
      <c:valAx>
        <c:axId val="48983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Discount(%)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836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[Dynamic Sales Analytics Dashboard.xlsx]Pivot Tables!PivotTable14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Margin vs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187125754943278"/>
          <c:y val="0.25999401472295314"/>
          <c:w val="0.71758171497217871"/>
          <c:h val="0.55160506560160494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Tables'!$B$32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Tables'!$A$33:$A$36</c:f>
              <c:strCache>
                <c:ptCount val="3"/>
                <c:pt idx="0">
                  <c:v>Product X</c:v>
                </c:pt>
                <c:pt idx="1">
                  <c:v>Product Y</c:v>
                </c:pt>
                <c:pt idx="2">
                  <c:v>Product Z</c:v>
                </c:pt>
              </c:strCache>
            </c:strRef>
          </c:cat>
          <c:val>
            <c:numRef>
              <c:f>'Pivot Tables'!$B$33:$B$36</c:f>
              <c:numCache>
                <c:formatCode>General</c:formatCode>
                <c:ptCount val="3"/>
                <c:pt idx="0">
                  <c:v>647</c:v>
                </c:pt>
                <c:pt idx="1">
                  <c:v>752</c:v>
                </c:pt>
                <c:pt idx="2">
                  <c:v>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97-46B8-A19E-5D50C4D94E9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88310927"/>
        <c:axId val="488310447"/>
      </c:lineChart>
      <c:catAx>
        <c:axId val="488310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310447"/>
        <c:crosses val="autoZero"/>
        <c:auto val="1"/>
        <c:lblAlgn val="ctr"/>
        <c:lblOffset val="100"/>
        <c:noMultiLvlLbl val="0"/>
      </c:catAx>
      <c:valAx>
        <c:axId val="48831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  <a:r>
                  <a:rPr lang="en-US" baseline="0"/>
                  <a:t> mARGIN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658190692817748E-2"/>
              <c:y val="0.38804442635744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3109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424269</xdr:colOff>
      <xdr:row>11</xdr:row>
      <xdr:rowOff>5062</xdr:rowOff>
    </xdr:from>
    <xdr:to>
      <xdr:col>8</xdr:col>
      <xdr:colOff>409181</xdr:colOff>
      <xdr:row>30</xdr:row>
      <xdr:rowOff>80507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76536D-39F4-4682-9337-DF5C32F25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377110</xdr:colOff>
      <xdr:row>11</xdr:row>
      <xdr:rowOff>0</xdr:rowOff>
    </xdr:from>
    <xdr:to>
      <xdr:col>18</xdr:col>
      <xdr:colOff>82489</xdr:colOff>
      <xdr:row>30</xdr:row>
      <xdr:rowOff>80312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EF1832-F5A4-49CC-99FF-135FB03CF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400856</xdr:colOff>
      <xdr:row>33</xdr:row>
      <xdr:rowOff>22559</xdr:rowOff>
    </xdr:from>
    <xdr:to>
      <xdr:col>8</xdr:col>
      <xdr:colOff>415945</xdr:colOff>
      <xdr:row>53</xdr:row>
      <xdr:rowOff>1700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394E51-49B1-4ADD-A806-0E3C831775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450919</xdr:colOff>
      <xdr:row>33</xdr:row>
      <xdr:rowOff>15237</xdr:rowOff>
    </xdr:from>
    <xdr:to>
      <xdr:col>18</xdr:col>
      <xdr:colOff>90276</xdr:colOff>
      <xdr:row>52</xdr:row>
      <xdr:rowOff>151039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BBE2B8-845D-467B-B041-B948EFAAC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386621</xdr:colOff>
      <xdr:row>56</xdr:row>
      <xdr:rowOff>0</xdr:rowOff>
    </xdr:from>
    <xdr:to>
      <xdr:col>8</xdr:col>
      <xdr:colOff>409255</xdr:colOff>
      <xdr:row>75</xdr:row>
      <xdr:rowOff>135431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E89666F-6D62-4ED5-9032-7C57084C2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459593</xdr:colOff>
      <xdr:row>56</xdr:row>
      <xdr:rowOff>5851</xdr:rowOff>
    </xdr:from>
    <xdr:to>
      <xdr:col>18</xdr:col>
      <xdr:colOff>69026</xdr:colOff>
      <xdr:row>75</xdr:row>
      <xdr:rowOff>157666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1489477-F1E4-4A75-ADCA-E03230EEBD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379151</xdr:colOff>
      <xdr:row>78</xdr:row>
      <xdr:rowOff>105698</xdr:rowOff>
    </xdr:from>
    <xdr:to>
      <xdr:col>8</xdr:col>
      <xdr:colOff>386696</xdr:colOff>
      <xdr:row>97</xdr:row>
      <xdr:rowOff>113244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4104BC9-E41F-4307-A8DC-FBDFAF9E4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447589</xdr:colOff>
      <xdr:row>78</xdr:row>
      <xdr:rowOff>120786</xdr:rowOff>
    </xdr:from>
    <xdr:to>
      <xdr:col>18</xdr:col>
      <xdr:colOff>59197</xdr:colOff>
      <xdr:row>97</xdr:row>
      <xdr:rowOff>113242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54E3A10-40C7-46EB-8405-D71238778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364136</xdr:colOff>
      <xdr:row>100</xdr:row>
      <xdr:rowOff>105845</xdr:rowOff>
    </xdr:from>
    <xdr:to>
      <xdr:col>8</xdr:col>
      <xdr:colOff>379225</xdr:colOff>
      <xdr:row>122</xdr:row>
      <xdr:rowOff>7766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63863D3-5B6F-4925-A7F0-10D459264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470531</xdr:colOff>
      <xdr:row>100</xdr:row>
      <xdr:rowOff>85004</xdr:rowOff>
    </xdr:from>
    <xdr:to>
      <xdr:col>18</xdr:col>
      <xdr:colOff>56309</xdr:colOff>
      <xdr:row>122</xdr:row>
      <xdr:rowOff>2014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0094CA4-1197-424C-A342-C9C4403F8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381001</xdr:colOff>
      <xdr:row>125</xdr:row>
      <xdr:rowOff>0</xdr:rowOff>
    </xdr:from>
    <xdr:to>
      <xdr:col>8</xdr:col>
      <xdr:colOff>347871</xdr:colOff>
      <xdr:row>145</xdr:row>
      <xdr:rowOff>68753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E18678AF-CB6D-4E8B-BBDB-EB8C9D253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474382</xdr:colOff>
      <xdr:row>125</xdr:row>
      <xdr:rowOff>27992</xdr:rowOff>
    </xdr:from>
    <xdr:to>
      <xdr:col>18</xdr:col>
      <xdr:colOff>43590</xdr:colOff>
      <xdr:row>145</xdr:row>
      <xdr:rowOff>80209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EADD29DF-1E11-4C0A-A7CE-D2DCBEE9F1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60960</xdr:colOff>
      <xdr:row>0</xdr:row>
      <xdr:rowOff>0</xdr:rowOff>
    </xdr:from>
    <xdr:to>
      <xdr:col>2</xdr:col>
      <xdr:colOff>365760</xdr:colOff>
      <xdr:row>4</xdr:row>
      <xdr:rowOff>15240</xdr:rowOff>
    </xdr:to>
    <xdr:pic>
      <xdr:nvPicPr>
        <xdr:cNvPr id="7" name="Graphic 6" descr="Bar graph with upward trend with solid fill">
          <a:extLst>
            <a:ext uri="{FF2B5EF4-FFF2-40B4-BE49-F238E27FC236}">
              <a16:creationId xmlns:a16="http://schemas.microsoft.com/office/drawing/2014/main" id="{35FA411A-4015-8763-3B76-B527EC27E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70560" y="0"/>
          <a:ext cx="914400" cy="9144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67.765283912035" createdVersion="8" refreshedVersion="8" minRefreshableVersion="3" recordCount="90" xr:uid="{0B292604-BF87-44F8-8E52-43760C37D460}">
  <cacheSource type="worksheet">
    <worksheetSource ref="A20:I110" sheet="Data"/>
  </cacheSource>
  <cacheFields count="9">
    <cacheField name="Date" numFmtId="14">
      <sharedItems containsSemiMixedTypes="0" containsNonDate="0" containsDate="1" containsString="0" minDate="2024-01-01T00:00:00" maxDate="2024-04-01T00:00:00"/>
    </cacheField>
    <cacheField name="Region" numFmtId="0">
      <sharedItems count="4">
        <s v="East"/>
        <s v="West"/>
        <s v="North"/>
        <s v="South"/>
      </sharedItems>
    </cacheField>
    <cacheField name="Salesperson" numFmtId="0">
      <sharedItems/>
    </cacheField>
    <cacheField name="Product" numFmtId="0">
      <sharedItems count="3">
        <s v="Product X"/>
        <s v="Product Y"/>
        <s v="Product Z"/>
      </sharedItems>
    </cacheField>
    <cacheField name="Quantity Sold" numFmtId="0">
      <sharedItems containsSemiMixedTypes="0" containsString="0" containsNumber="1" containsInteger="1" minValue="100" maxValue="250"/>
    </cacheField>
    <cacheField name="Sales Amount" numFmtId="0">
      <sharedItems containsSemiMixedTypes="0" containsString="0" containsNumber="1" containsInteger="1" minValue="2000" maxValue="5000"/>
    </cacheField>
    <cacheField name="Discount (%)" numFmtId="0">
      <sharedItems containsSemiMixedTypes="0" containsString="0" containsNumber="1" containsInteger="1" minValue="5" maxValue="20"/>
    </cacheField>
    <cacheField name="Profit Margin (%)" numFmtId="0">
      <sharedItems containsSemiMixedTypes="0" containsString="0" containsNumber="1" containsInteger="1" minValue="18" maxValue="30"/>
    </cacheField>
    <cacheField name="Total Sales Amount" numFmtId="0">
      <sharedItems containsSemiMixedTypes="0" containsString="0" containsNumber="1" containsInteger="1" minValue="200000" maxValue="12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70.645138078704" backgroundQuery="1" createdVersion="8" refreshedVersion="8" minRefreshableVersion="3" recordCount="0" supportSubquery="1" supportAdvancedDrill="1" xr:uid="{630FE833-5D35-48BC-B2E0-E3CDDE85D35A}">
  <cacheSource type="external" connectionId="1"/>
  <cacheFields count="2">
    <cacheField name="[Measures].[Sum of Sales Amount]" caption="Sum of Sales Amount" numFmtId="0" hierarchy="14" level="32767"/>
    <cacheField name="[Range].[Product].[Product]" caption="Product" numFmtId="0" hierarchy="3" level="1">
      <sharedItems count="3">
        <s v="Product X"/>
        <s v="Product Y"/>
        <s v="Product Z"/>
      </sharedItems>
    </cacheField>
  </cacheFields>
  <cacheHierarchies count="18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1"/>
      </fieldsUsage>
    </cacheHierarchy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 Amount]" caption="Sum of Sales Amount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 Margin (%)]" caption="Sum of Profit Margin 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70.64065833333" backgroundQuery="1" createdVersion="8" refreshedVersion="8" minRefreshableVersion="3" recordCount="0" supportSubquery="1" supportAdvancedDrill="1" xr:uid="{D279F929-111C-4E9D-9F7E-D75B960E6730}">
  <cacheSource type="external" connectionId="1"/>
  <cacheFields count="3">
    <cacheField name="[Range].[Date].[Date]" caption="Date" numFmtId="0" level="1">
      <sharedItems containsSemiMixedTypes="0" containsNonDate="0" containsDate="1" containsString="0" minDate="2024-03-01T00:00:00" maxDate="2024-04-01T00:00:00" count="31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</sharedItems>
    </cacheField>
    <cacheField name="[Range].[Date (Month)].[Date (Month)]" caption="Date (Month)" numFmtId="0" hierarchy="9" level="1">
      <sharedItems count="3">
        <s v="Jan"/>
        <s v="Feb"/>
        <s v="Mar"/>
      </sharedItems>
    </cacheField>
    <cacheField name="[Measures].[Sum of Sales Amount]" caption="Sum of Sales Amount" numFmtId="0" hierarchy="14" level="32767"/>
  </cacheFields>
  <cacheHierarchies count="18">
    <cacheHierarchy uniqueName="[Range].[Date]" caption="Date" attribute="1" time="1" defaultMemberUniqueName="[Range].[Date].[All]" allUniqueName="[Range].[Date].[All]" dimensionUniqueName="[Range]" displayFolder="" count="2" memberValueDatatype="7" unbalanced="0">
      <fieldsUsage count="2">
        <fieldUsage x="-1"/>
        <fieldUsage x="0"/>
      </fieldsUsage>
    </cacheHierarchy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 Amount]" caption="Sum of Sales Amou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 Margin (%)]" caption="Sum of Profit Margin 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70.637094907404" backgroundQuery="1" createdVersion="8" refreshedVersion="8" minRefreshableVersion="3" recordCount="0" supportSubquery="1" supportAdvancedDrill="1" xr:uid="{42D651E6-7742-4C1E-91DD-88D0AD2CB362}">
  <cacheSource type="external" connectionId="1"/>
  <cacheFields count="4">
    <cacheField name="[Measures].[Sum of Quantity Sold]" caption="Sum of Quantity Sold" numFmtId="0" hierarchy="13" level="32767"/>
    <cacheField name="[Range].[Date].[Date]" caption="Date" numFmtId="0" level="1">
      <sharedItems containsSemiMixedTypes="0" containsNonDate="0" containsDate="1" containsString="0" minDate="2024-01-01T00:00:00" maxDate="2024-04-01T00:00:00" count="90">
        <d v="2024-03-04T00:00:00"/>
        <d v="2024-03-08T00:00:00"/>
        <d v="2024-03-12T00:00:00"/>
        <d v="2024-03-16T00:00:00"/>
        <d v="2024-03-20T00:00:00"/>
        <d v="2024-03-24T00:00:00"/>
        <d v="2024-03-28T00:00:00"/>
        <d v="2024-03-02T00:00:00"/>
        <d v="2024-03-06T00:00:00"/>
        <d v="2024-03-10T00:00:00"/>
        <d v="2024-03-14T00:00:00"/>
        <d v="2024-03-18T00:00:00"/>
        <d v="2024-03-22T00:00:00"/>
        <d v="2024-03-26T00:00:00"/>
        <d v="2024-03-30T00:00:00"/>
        <d v="2024-03-03T00:00:00"/>
        <d v="2024-03-07T00:00:00"/>
        <d v="2024-03-11T00:00:00"/>
        <d v="2024-03-15T00:00:00"/>
        <d v="2024-03-19T00:00:00"/>
        <d v="2024-03-23T00:00:00"/>
        <d v="2024-03-27T00:00:00"/>
        <d v="2024-03-31T00:00:00"/>
        <d v="2024-03-01T00:00:00"/>
        <d v="2024-03-05T00:00:00"/>
        <d v="2024-03-09T00:00:00"/>
        <d v="2024-03-13T00:00:00"/>
        <d v="2024-03-17T00:00:00"/>
        <d v="2024-03-21T00:00:00"/>
        <d v="2024-03-25T00:00:00"/>
        <d v="2024-03-29T00:00:00"/>
        <d v="2024-02-01T00:00:00" u="1"/>
        <d v="2024-02-05T00:00:00" u="1"/>
        <d v="2024-02-09T00:00:00" u="1"/>
        <d v="2024-02-13T00:00:00" u="1"/>
        <d v="2024-02-17T00:00:00" u="1"/>
        <d v="2024-02-21T00:00:00" u="1"/>
        <d v="2024-02-25T00:00:00" u="1"/>
        <d v="2024-02-29T00:00:00" u="1"/>
        <d v="2024-02-03T00:00:00" u="1"/>
        <d v="2024-02-07T00:00:00" u="1"/>
        <d v="2024-02-11T00:00:00" u="1"/>
        <d v="2024-02-15T00:00:00" u="1"/>
        <d v="2024-02-19T00:00:00" u="1"/>
        <d v="2024-02-23T00:00:00" u="1"/>
        <d v="2024-02-27T00:00:00" u="1"/>
        <d v="2024-02-04T00:00:00" u="1"/>
        <d v="2024-02-08T00:00:00" u="1"/>
        <d v="2024-02-12T00:00:00" u="1"/>
        <d v="2024-02-16T00:00:00" u="1"/>
        <d v="2024-02-20T00:00:00" u="1"/>
        <d v="2024-02-24T00:00:00" u="1"/>
        <d v="2024-02-28T00:00:00" u="1"/>
        <d v="2024-02-02T00:00:00" u="1"/>
        <d v="2024-02-06T00:00:00" u="1"/>
        <d v="2024-02-10T00:00:00" u="1"/>
        <d v="2024-02-14T00:00:00" u="1"/>
        <d v="2024-02-18T00:00:00" u="1"/>
        <d v="2024-02-22T00:00:00" u="1"/>
        <d v="2024-02-26T00:00:00" u="1"/>
        <d v="2024-01-01T00:00:00" u="1"/>
        <d v="2024-01-05T00:00:00" u="1"/>
        <d v="2024-01-09T00:00:00" u="1"/>
        <d v="2024-01-13T00:00:00" u="1"/>
        <d v="2024-01-17T00:00:00" u="1"/>
        <d v="2024-01-21T00:00:00" u="1"/>
        <d v="2024-01-25T00:00:00" u="1"/>
        <d v="2024-01-29T00:00:00" u="1"/>
        <d v="2024-01-03T00:00:00" u="1"/>
        <d v="2024-01-07T00:00:00" u="1"/>
        <d v="2024-01-11T00:00:00" u="1"/>
        <d v="2024-01-15T00:00:00" u="1"/>
        <d v="2024-01-19T00:00:00" u="1"/>
        <d v="2024-01-23T00:00:00" u="1"/>
        <d v="2024-01-27T00:00:00" u="1"/>
        <d v="2024-01-04T00:00:00" u="1"/>
        <d v="2024-01-08T00:00:00" u="1"/>
        <d v="2024-01-12T00:00:00" u="1"/>
        <d v="2024-01-16T00:00:00" u="1"/>
        <d v="2024-01-20T00:00:00" u="1"/>
        <d v="2024-01-24T00:00:00" u="1"/>
        <d v="2024-01-28T00:00:00" u="1"/>
        <d v="2024-01-02T00:00:00" u="1"/>
        <d v="2024-01-06T00:00:00" u="1"/>
        <d v="2024-01-10T00:00:00" u="1"/>
        <d v="2024-01-14T00:00:00" u="1"/>
        <d v="2024-01-18T00:00:00" u="1"/>
        <d v="2024-01-22T00:00:00" u="1"/>
        <d v="2024-01-26T00:00:00" u="1"/>
        <d v="2024-01-30T00:00:00" u="1"/>
      </sharedItems>
    </cacheField>
    <cacheField name="[Range].[Date (Month)].[Date (Month)]" caption="Date (Month)" numFmtId="0" hierarchy="9" level="1">
      <sharedItems count="3">
        <s v="Jan"/>
        <s v="Feb"/>
        <s v="Mar"/>
      </sharedItems>
    </cacheField>
    <cacheField name="[Range].[Region].[Region]" caption="Region" numFmtId="0" hierarchy="1" level="1">
      <sharedItems count="4">
        <s v="East"/>
        <s v="North"/>
        <s v="South"/>
        <s v="West"/>
      </sharedItems>
    </cacheField>
  </cacheFields>
  <cacheHierarchies count="18">
    <cacheHierarchy uniqueName="[Range].[Date]" caption="Date" attribute="1" time="1" defaultMemberUniqueName="[Range].[Date].[All]" allUniqueName="[Range].[Date].[All]" dimensionUniqueName="[Range]" displayFolder="" count="2" memberValueDatatype="7" unbalanced="0">
      <fieldsUsage count="2">
        <fieldUsage x="-1"/>
        <fieldUsage x="1"/>
      </fieldsUsage>
    </cacheHierarchy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3"/>
      </fieldsUsage>
    </cacheHierarchy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uantity Sold]" caption="Sum of Quantity Sol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 Amount]" caption="Sum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 Margin (%)]" caption="Sum of Profit Margin 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70.632613657406" backgroundQuery="1" createdVersion="8" refreshedVersion="8" minRefreshableVersion="3" recordCount="0" supportSubquery="1" supportAdvancedDrill="1" xr:uid="{470F2249-7284-44B4-88F3-990561196036}">
  <cacheSource type="external" connectionId="1"/>
  <cacheFields count="2">
    <cacheField name="[Range].[Product].[Product]" caption="Product" numFmtId="0" hierarchy="3" level="1">
      <sharedItems count="3">
        <s v="Product X"/>
        <s v="Product Y"/>
        <s v="Product Z"/>
      </sharedItems>
    </cacheField>
    <cacheField name="[Measures].[Sum of Quantity Sold]" caption="Sum of Quantity Sold" numFmtId="0" hierarchy="13" level="32767"/>
  </cacheFields>
  <cacheHierarchies count="18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uantity Sold]" caption="Sum of Quantity Sol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 Amount]" caption="Sum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 Margin (%)]" caption="Sum of Profit Margin 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70.630975115739" backgroundQuery="1" createdVersion="8" refreshedVersion="8" minRefreshableVersion="3" recordCount="0" supportSubquery="1" supportAdvancedDrill="1" xr:uid="{5A6B9B5D-BC01-4AF0-B083-7488239632D6}">
  <cacheSource type="external" connectionId="1"/>
  <cacheFields count="2">
    <cacheField name="[Measures].[Sum of Sales Amount]" caption="Sum of Sales Amount" numFmtId="0" hierarchy="14" level="32767"/>
    <cacheField name="[Range].[Product].[Product]" caption="Product" numFmtId="0" hierarchy="3" level="1">
      <sharedItems count="3">
        <s v="Product X"/>
        <s v="Product Y"/>
        <s v="Product Z"/>
      </sharedItems>
    </cacheField>
  </cacheFields>
  <cacheHierarchies count="18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1"/>
      </fieldsUsage>
    </cacheHierarchy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 Amount]" caption="Sum of Sales Amount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 Margin (%)]" caption="Sum of Profit Margin 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70.630527083333" backgroundQuery="1" createdVersion="8" refreshedVersion="8" minRefreshableVersion="3" recordCount="0" supportSubquery="1" supportAdvancedDrill="1" xr:uid="{E837B4E1-4C66-43B5-950E-C84A106A2C40}">
  <cacheSource type="external" connectionId="1"/>
  <cacheFields count="2">
    <cacheField name="[Range].[Salesperson].[Salesperson]" caption="Salesperson" numFmtId="0" hierarchy="2" level="1">
      <sharedItems count="4">
        <s v="Arun Kumar"/>
        <s v="Meera Reddy"/>
        <s v="Priya Sharma"/>
        <s v="Rajesh Patel"/>
      </sharedItems>
    </cacheField>
    <cacheField name="[Measures].[Sum of Profit Margin (%)]" caption="Sum of Profit Margin (%)" numFmtId="0" hierarchy="16" level="32767"/>
  </cacheFields>
  <cacheHierarchies count="18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 Amount]" caption="Sum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 Margin (%)]" caption="Sum of Profit Margin (%)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70.622324652781" backgroundQuery="1" createdVersion="8" refreshedVersion="8" minRefreshableVersion="3" recordCount="0" supportSubquery="1" supportAdvancedDrill="1" xr:uid="{368F540E-30DB-40F7-96B7-B4A5AE28D89E}">
  <cacheSource type="external" connectionId="1"/>
  <cacheFields count="2">
    <cacheField name="[Measures].[Sum of Quantity Sold]" caption="Sum of Quantity Sold" numFmtId="0" hierarchy="13" level="32767"/>
    <cacheField name="[Range].[Region].[Region]" caption="Region" numFmtId="0" hierarchy="1" level="1">
      <sharedItems count="4">
        <s v="East"/>
        <s v="North"/>
        <s v="South"/>
        <s v="West"/>
      </sharedItems>
    </cacheField>
  </cacheFields>
  <cacheHierarchies count="18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uantity Sold]" caption="Sum of Quantity Sol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 Amount]" caption="Sum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 Margin (%)]" caption="Sum of Profit Margin 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70.619637384261" backgroundQuery="1" createdVersion="8" refreshedVersion="8" minRefreshableVersion="3" recordCount="0" supportSubquery="1" supportAdvancedDrill="1" xr:uid="{189D1DC4-48CA-4E46-8EB1-87C2FD78FF70}">
  <cacheSource type="external" connectionId="1"/>
  <cacheFields count="2">
    <cacheField name="[Measures].[Sum of Total Sales Amount]" caption="Sum of Total Sales Amount" numFmtId="0" hierarchy="15" level="32767"/>
    <cacheField name="[Range].[Region].[Region]" caption="Region" numFmtId="0" hierarchy="1" level="1">
      <sharedItems count="4">
        <s v="East"/>
        <s v="North"/>
        <s v="South"/>
        <s v="West"/>
      </sharedItems>
    </cacheField>
  </cacheFields>
  <cacheHierarchies count="18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 Amount]" caption="Sum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ales Amount]" caption="Sum of Total Sales Amount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 Margin (%)]" caption="Sum of Profit Margin 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70.612325000002" backgroundQuery="1" createdVersion="8" refreshedVersion="8" minRefreshableVersion="3" recordCount="0" supportSubquery="1" supportAdvancedDrill="1" xr:uid="{7101BF27-66F8-454A-BF3A-16DE44A4CD6B}">
  <cacheSource type="external" connectionId="1"/>
  <cacheFields count="3">
    <cacheField name="[Measures].[Sum of Sales Amount]" caption="Sum of Sales Amount" numFmtId="0" hierarchy="14" level="32767"/>
    <cacheField name="[Range].[Date].[Date]" caption="Date" numFmtId="0" level="1">
      <sharedItems containsSemiMixedTypes="0" containsNonDate="0" containsDate="1" containsString="0" minDate="2024-03-01T00:00:00" maxDate="2024-04-01T00:00:00" count="31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</sharedItems>
    </cacheField>
    <cacheField name="[Range].[Date (Month)].[Date (Month)]" caption="Date (Month)" numFmtId="0" hierarchy="9" level="1">
      <sharedItems count="3">
        <s v="Jan"/>
        <s v="Feb"/>
        <s v="Mar"/>
      </sharedItems>
    </cacheField>
  </cacheFields>
  <cacheHierarchies count="18">
    <cacheHierarchy uniqueName="[Range].[Date]" caption="Date" attribute="1" time="1" defaultMemberUniqueName="[Range].[Date].[All]" allUniqueName="[Range].[Date].[All]" dimensionUniqueName="[Range]" displayFolder="" count="2" memberValueDatatype="7" unbalanced="0">
      <fieldsUsage count="2">
        <fieldUsage x="-1"/>
        <fieldUsage x="1"/>
      </fieldsUsage>
    </cacheHierarchy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 Amount]" caption="Sum of Sales Amount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 Margin (%)]" caption="Sum of Profit Margin 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70.615000925929" backgroundQuery="1" createdVersion="8" refreshedVersion="8" minRefreshableVersion="3" recordCount="0" supportSubquery="1" supportAdvancedDrill="1" xr:uid="{2684EECB-42C1-4B02-945C-D8BE28A4FBCB}">
  <cacheSource type="external" connectionId="1"/>
  <cacheFields count="3">
    <cacheField name="[Range].[Date].[Date]" caption="Date" numFmtId="0" level="1">
      <sharedItems containsSemiMixedTypes="0" containsNonDate="0" containsDate="1" containsString="0" minDate="2024-01-01T00:00:00" maxDate="2024-04-01T00:00:00" count="9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</sharedItems>
    </cacheField>
    <cacheField name="[Range].[Date (Month)].[Date (Month)]" caption="Date (Month)" numFmtId="0" hierarchy="9" level="1">
      <sharedItems count="3">
        <s v="Jan"/>
        <s v="Feb"/>
        <s v="Mar"/>
      </sharedItems>
    </cacheField>
    <cacheField name="[Measures].[Sum of Quantity Sold]" caption="Sum of Quantity Sold" numFmtId="0" hierarchy="13" level="32767"/>
  </cacheFields>
  <cacheHierarchies count="18">
    <cacheHierarchy uniqueName="[Range].[Date]" caption="Date" attribute="1" time="1" defaultMemberUniqueName="[Range].[Date].[All]" allUniqueName="[Range].[Date].[All]" dimensionUniqueName="[Range]" displayFolder="" count="2" memberValueDatatype="7" unbalanced="0">
      <fieldsUsage count="2">
        <fieldUsage x="-1"/>
        <fieldUsage x="0"/>
      </fieldsUsage>
    </cacheHierarchy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uantity Sold]" caption="Sum of Quantity Sol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 Amount]" caption="Sum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 Margin (%)]" caption="Sum of Profit Margin (%)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70.651875925927" backgroundQuery="1" createdVersion="8" refreshedVersion="8" minRefreshableVersion="3" recordCount="0" supportSubquery="1" supportAdvancedDrill="1" xr:uid="{58976118-E774-49B6-BBC4-54501F7461DE}">
  <cacheSource type="external" connectionId="1"/>
  <cacheFields count="2">
    <cacheField name="[Measures].[Sum of Profit Margin (%)]" caption="Sum of Profit Margin (%)" numFmtId="0" hierarchy="16" level="32767"/>
    <cacheField name="[Range].[Product].[Product]" caption="Product" numFmtId="0" hierarchy="3" level="1">
      <sharedItems count="3">
        <s v="Product X"/>
        <s v="Product Y"/>
        <s v="Product Z"/>
      </sharedItems>
    </cacheField>
  </cacheFields>
  <cacheHierarchies count="18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Salesperson]" caption="Salesperson" attribute="1" defaultMemberUniqueName="[Range].[Salesperson].[All]" allUniqueName="[Range].[Salesperson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1"/>
      </fieldsUsage>
    </cacheHierarchy>
    <cacheHierarchy uniqueName="[Range].[Quantity Sold]" caption="Quantity Sold" attribute="1" defaultMemberUniqueName="[Range].[Quantity Sold].[All]" allUniqueName="[Range].[Quantity Sold].[All]" dimensionUniqueName="[Range]" displayFolder="" count="0" memberValueDatatype="20" unbalanced="0"/>
    <cacheHierarchy uniqueName="[Range].[Sales Amount]" caption="Sales Amount" attribute="1" defaultMemberUniqueName="[Range].[Sales Amount].[All]" allUniqueName="[Range].[Sales Amount].[All]" dimensionUniqueName="[Range]" displayFolder="" count="0" memberValueDatatype="20" unbalanced="0"/>
    <cacheHierarchy uniqueName="[Range].[Discount (%)]" caption="Discount (%)" attribute="1" defaultMemberUniqueName="[Range].[Discount (%)].[All]" allUniqueName="[Range].[Discount (%)].[All]" dimensionUniqueName="[Range]" displayFolder="" count="0" memberValueDatatype="20" unbalanced="0"/>
    <cacheHierarchy uniqueName="[Range].[Profit Margin (%)]" caption="Profit Margin (%)" attribute="1" defaultMemberUniqueName="[Range].[Profit Margin (%)].[All]" allUniqueName="[Range].[Profit Margin (%)].[All]" dimensionUniqueName="[Range]" displayFolder="" count="0" memberValueDatatype="20" unbalanced="0"/>
    <cacheHierarchy uniqueName="[Range].[Total Sales Amount]" caption="Total Sales Amount" attribute="1" defaultMemberUniqueName="[Range].[Total Sales Amount].[All]" allUniqueName="[Range].[Total Sales Amount].[All]" dimensionUniqueName="[Range]" displayFolder="" count="0" memberValueDatatype="2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uantity Sold]" caption="Sum of Quantity Sold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Sales Amount]" caption="Sum of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 Sales Amount]" caption="Sum of Total Sales Amount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 Margin (%)]" caption="Sum of Profit Margin (%)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Discount (%)]" caption="Sum of Discount (%)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d v="2024-01-01T00:00:00"/>
    <x v="0"/>
    <s v="Arun Kumar"/>
    <x v="0"/>
    <n v="150"/>
    <n v="3000"/>
    <n v="10"/>
    <n v="20"/>
    <n v="450000"/>
  </r>
  <r>
    <d v="2024-01-02T00:00:00"/>
    <x v="1"/>
    <s v="Priya Sharma"/>
    <x v="1"/>
    <n v="200"/>
    <n v="4000"/>
    <n v="15"/>
    <n v="25"/>
    <n v="800000"/>
  </r>
  <r>
    <d v="2024-01-03T00:00:00"/>
    <x v="2"/>
    <s v="Rajesh Patel"/>
    <x v="0"/>
    <n v="120"/>
    <n v="2400"/>
    <n v="5"/>
    <n v="18"/>
    <n v="288000"/>
  </r>
  <r>
    <d v="2024-01-04T00:00:00"/>
    <x v="3"/>
    <s v="Meera Reddy"/>
    <x v="2"/>
    <n v="250"/>
    <n v="5000"/>
    <n v="20"/>
    <n v="30"/>
    <n v="1250000"/>
  </r>
  <r>
    <d v="2024-01-05T00:00:00"/>
    <x v="0"/>
    <s v="Arun Kumar"/>
    <x v="1"/>
    <n v="100"/>
    <n v="2000"/>
    <n v="10"/>
    <n v="22"/>
    <n v="200000"/>
  </r>
  <r>
    <d v="2024-01-06T00:00:00"/>
    <x v="1"/>
    <s v="Priya Sharma"/>
    <x v="0"/>
    <n v="180"/>
    <n v="3600"/>
    <n v="12"/>
    <n v="19"/>
    <n v="648000"/>
  </r>
  <r>
    <d v="2024-01-07T00:00:00"/>
    <x v="2"/>
    <s v="Rajesh Patel"/>
    <x v="1"/>
    <n v="150"/>
    <n v="3000"/>
    <n v="8"/>
    <n v="21"/>
    <n v="450000"/>
  </r>
  <r>
    <d v="2024-01-08T00:00:00"/>
    <x v="3"/>
    <s v="Meera Reddy"/>
    <x v="0"/>
    <n v="200"/>
    <n v="4000"/>
    <n v="15"/>
    <n v="27"/>
    <n v="800000"/>
  </r>
  <r>
    <d v="2024-01-09T00:00:00"/>
    <x v="0"/>
    <s v="Arun Kumar"/>
    <x v="2"/>
    <n v="170"/>
    <n v="3400"/>
    <n v="18"/>
    <n v="23"/>
    <n v="578000"/>
  </r>
  <r>
    <d v="2024-01-10T00:00:00"/>
    <x v="1"/>
    <s v="Priya Sharma"/>
    <x v="2"/>
    <n v="130"/>
    <n v="2600"/>
    <n v="10"/>
    <n v="20"/>
    <n v="338000"/>
  </r>
  <r>
    <d v="2024-01-11T00:00:00"/>
    <x v="2"/>
    <s v="Rajesh Patel"/>
    <x v="0"/>
    <n v="160"/>
    <n v="3200"/>
    <n v="5"/>
    <n v="22"/>
    <n v="512000"/>
  </r>
  <r>
    <d v="2024-01-12T00:00:00"/>
    <x v="3"/>
    <s v="Meera Reddy"/>
    <x v="1"/>
    <n v="180"/>
    <n v="3600"/>
    <n v="12"/>
    <n v="25"/>
    <n v="648000"/>
  </r>
  <r>
    <d v="2024-01-13T00:00:00"/>
    <x v="0"/>
    <s v="Arun Kumar"/>
    <x v="1"/>
    <n v="140"/>
    <n v="2800"/>
    <n v="11"/>
    <n v="24"/>
    <n v="392000"/>
  </r>
  <r>
    <d v="2024-01-14T00:00:00"/>
    <x v="1"/>
    <s v="Priya Sharma"/>
    <x v="0"/>
    <n v="150"/>
    <n v="3000"/>
    <n v="8"/>
    <n v="20"/>
    <n v="450000"/>
  </r>
  <r>
    <d v="2024-01-15T00:00:00"/>
    <x v="2"/>
    <s v="Rajesh Patel"/>
    <x v="2"/>
    <n v="190"/>
    <n v="3800"/>
    <n v="7"/>
    <n v="19"/>
    <n v="722000"/>
  </r>
  <r>
    <d v="2024-01-16T00:00:00"/>
    <x v="3"/>
    <s v="Meera Reddy"/>
    <x v="2"/>
    <n v="210"/>
    <n v="4200"/>
    <n v="16"/>
    <n v="28"/>
    <n v="882000"/>
  </r>
  <r>
    <d v="2024-01-17T00:00:00"/>
    <x v="0"/>
    <s v="Arun Kumar"/>
    <x v="2"/>
    <n v="160"/>
    <n v="3200"/>
    <n v="12"/>
    <n v="22"/>
    <n v="512000"/>
  </r>
  <r>
    <d v="2024-01-18T00:00:00"/>
    <x v="1"/>
    <s v="Priya Sharma"/>
    <x v="1"/>
    <n v="170"/>
    <n v="3400"/>
    <n v="14"/>
    <n v="26"/>
    <n v="578000"/>
  </r>
  <r>
    <d v="2024-01-19T00:00:00"/>
    <x v="2"/>
    <s v="Rajesh Patel"/>
    <x v="0"/>
    <n v="140"/>
    <n v="2800"/>
    <n v="6"/>
    <n v="21"/>
    <n v="392000"/>
  </r>
  <r>
    <d v="2024-01-20T00:00:00"/>
    <x v="3"/>
    <s v="Meera Reddy"/>
    <x v="1"/>
    <n v="220"/>
    <n v="4400"/>
    <n v="18"/>
    <n v="29"/>
    <n v="968000"/>
  </r>
  <r>
    <d v="2024-01-21T00:00:00"/>
    <x v="0"/>
    <s v="Arun Kumar"/>
    <x v="0"/>
    <n v="130"/>
    <n v="2600"/>
    <n v="11"/>
    <n v="23"/>
    <n v="338000"/>
  </r>
  <r>
    <d v="2024-01-22T00:00:00"/>
    <x v="1"/>
    <s v="Priya Sharma"/>
    <x v="2"/>
    <n v="140"/>
    <n v="2800"/>
    <n v="9"/>
    <n v="20"/>
    <n v="392000"/>
  </r>
  <r>
    <d v="2024-01-23T00:00:00"/>
    <x v="2"/>
    <s v="Rajesh Patel"/>
    <x v="1"/>
    <n v="190"/>
    <n v="3800"/>
    <n v="10"/>
    <n v="22"/>
    <n v="722000"/>
  </r>
  <r>
    <d v="2024-01-24T00:00:00"/>
    <x v="3"/>
    <s v="Meera Reddy"/>
    <x v="0"/>
    <n v="160"/>
    <n v="3200"/>
    <n v="13"/>
    <n v="26"/>
    <n v="512000"/>
  </r>
  <r>
    <d v="2024-01-25T00:00:00"/>
    <x v="0"/>
    <s v="Arun Kumar"/>
    <x v="2"/>
    <n v="180"/>
    <n v="3600"/>
    <n v="15"/>
    <n v="24"/>
    <n v="648000"/>
  </r>
  <r>
    <d v="2024-01-26T00:00:00"/>
    <x v="1"/>
    <s v="Priya Sharma"/>
    <x v="0"/>
    <n v="170"/>
    <n v="3400"/>
    <n v="8"/>
    <n v="21"/>
    <n v="578000"/>
  </r>
  <r>
    <d v="2024-01-27T00:00:00"/>
    <x v="2"/>
    <s v="Rajesh Patel"/>
    <x v="2"/>
    <n v="200"/>
    <n v="4000"/>
    <n v="12"/>
    <n v="28"/>
    <n v="800000"/>
  </r>
  <r>
    <d v="2024-01-28T00:00:00"/>
    <x v="3"/>
    <s v="Meera Reddy"/>
    <x v="1"/>
    <n v="150"/>
    <n v="3000"/>
    <n v="16"/>
    <n v="25"/>
    <n v="450000"/>
  </r>
  <r>
    <d v="2024-01-29T00:00:00"/>
    <x v="0"/>
    <s v="Arun Kumar"/>
    <x v="1"/>
    <n v="110"/>
    <n v="2200"/>
    <n v="14"/>
    <n v="20"/>
    <n v="242000"/>
  </r>
  <r>
    <d v="2024-01-30T00:00:00"/>
    <x v="1"/>
    <s v="Priya Sharma"/>
    <x v="2"/>
    <n v="180"/>
    <n v="3600"/>
    <n v="11"/>
    <n v="23"/>
    <n v="648000"/>
  </r>
  <r>
    <d v="2024-02-01T00:00:00"/>
    <x v="0"/>
    <s v="Arun Kumar"/>
    <x v="1"/>
    <n v="160"/>
    <n v="3200"/>
    <n v="12"/>
    <n v="22"/>
    <n v="512000"/>
  </r>
  <r>
    <d v="2024-02-02T00:00:00"/>
    <x v="1"/>
    <s v="Priya Sharma"/>
    <x v="2"/>
    <n v="140"/>
    <n v="2800"/>
    <n v="14"/>
    <n v="25"/>
    <n v="392000"/>
  </r>
  <r>
    <d v="2024-02-03T00:00:00"/>
    <x v="2"/>
    <s v="Rajesh Patel"/>
    <x v="0"/>
    <n v="110"/>
    <n v="2200"/>
    <n v="8"/>
    <n v="20"/>
    <n v="242000"/>
  </r>
  <r>
    <d v="2024-02-04T00:00:00"/>
    <x v="3"/>
    <s v="Meera Reddy"/>
    <x v="1"/>
    <n v="230"/>
    <n v="4600"/>
    <n v="10"/>
    <n v="28"/>
    <n v="1058000"/>
  </r>
  <r>
    <d v="2024-02-05T00:00:00"/>
    <x v="0"/>
    <s v="Arun Kumar"/>
    <x v="2"/>
    <n v="190"/>
    <n v="3800"/>
    <n v="15"/>
    <n v="24"/>
    <n v="722000"/>
  </r>
  <r>
    <d v="2024-02-06T00:00:00"/>
    <x v="1"/>
    <s v="Priya Sharma"/>
    <x v="0"/>
    <n v="140"/>
    <n v="2800"/>
    <n v="11"/>
    <n v="21"/>
    <n v="392000"/>
  </r>
  <r>
    <d v="2024-02-07T00:00:00"/>
    <x v="2"/>
    <s v="Rajesh Patel"/>
    <x v="1"/>
    <n v="160"/>
    <n v="3200"/>
    <n v="7"/>
    <n v="22"/>
    <n v="512000"/>
  </r>
  <r>
    <d v="2024-02-08T00:00:00"/>
    <x v="3"/>
    <s v="Meera Reddy"/>
    <x v="2"/>
    <n v="220"/>
    <n v="4400"/>
    <n v="18"/>
    <n v="30"/>
    <n v="968000"/>
  </r>
  <r>
    <d v="2024-02-09T00:00:00"/>
    <x v="0"/>
    <s v="Arun Kumar"/>
    <x v="0"/>
    <n v="140"/>
    <n v="2800"/>
    <n v="12"/>
    <n v="23"/>
    <n v="392000"/>
  </r>
  <r>
    <d v="2024-02-10T00:00:00"/>
    <x v="1"/>
    <s v="Priya Sharma"/>
    <x v="1"/>
    <n v="120"/>
    <n v="2400"/>
    <n v="10"/>
    <n v="21"/>
    <n v="288000"/>
  </r>
  <r>
    <d v="2024-02-11T00:00:00"/>
    <x v="2"/>
    <s v="Rajesh Patel"/>
    <x v="2"/>
    <n v="170"/>
    <n v="3400"/>
    <n v="9"/>
    <n v="19"/>
    <n v="578000"/>
  </r>
  <r>
    <d v="2024-02-12T00:00:00"/>
    <x v="3"/>
    <s v="Meera Reddy"/>
    <x v="0"/>
    <n v="200"/>
    <n v="4000"/>
    <n v="14"/>
    <n v="26"/>
    <n v="800000"/>
  </r>
  <r>
    <d v="2024-02-13T00:00:00"/>
    <x v="0"/>
    <s v="Arun Kumar"/>
    <x v="1"/>
    <n v="150"/>
    <n v="3000"/>
    <n v="11"/>
    <n v="22"/>
    <n v="450000"/>
  </r>
  <r>
    <d v="2024-02-14T00:00:00"/>
    <x v="1"/>
    <s v="Priya Sharma"/>
    <x v="2"/>
    <n v="180"/>
    <n v="3600"/>
    <n v="16"/>
    <n v="28"/>
    <n v="648000"/>
  </r>
  <r>
    <d v="2024-02-15T00:00:00"/>
    <x v="2"/>
    <s v="Rajesh Patel"/>
    <x v="0"/>
    <n v="130"/>
    <n v="2600"/>
    <n v="6"/>
    <n v="20"/>
    <n v="338000"/>
  </r>
  <r>
    <d v="2024-02-16T00:00:00"/>
    <x v="3"/>
    <s v="Meera Reddy"/>
    <x v="1"/>
    <n v="190"/>
    <n v="3800"/>
    <n v="12"/>
    <n v="27"/>
    <n v="722000"/>
  </r>
  <r>
    <d v="2024-02-17T00:00:00"/>
    <x v="0"/>
    <s v="Arun Kumar"/>
    <x v="2"/>
    <n v="210"/>
    <n v="4200"/>
    <n v="17"/>
    <n v="25"/>
    <n v="882000"/>
  </r>
  <r>
    <d v="2024-02-18T00:00:00"/>
    <x v="1"/>
    <s v="Priya Sharma"/>
    <x v="0"/>
    <n v="160"/>
    <n v="3200"/>
    <n v="8"/>
    <n v="22"/>
    <n v="512000"/>
  </r>
  <r>
    <d v="2024-02-19T00:00:00"/>
    <x v="2"/>
    <s v="Rajesh Patel"/>
    <x v="1"/>
    <n v="180"/>
    <n v="3600"/>
    <n v="9"/>
    <n v="23"/>
    <n v="648000"/>
  </r>
  <r>
    <d v="2024-02-20T00:00:00"/>
    <x v="3"/>
    <s v="Meera Reddy"/>
    <x v="2"/>
    <n v="170"/>
    <n v="3400"/>
    <n v="14"/>
    <n v="26"/>
    <n v="578000"/>
  </r>
  <r>
    <d v="2024-02-21T00:00:00"/>
    <x v="0"/>
    <s v="Arun Kumar"/>
    <x v="0"/>
    <n v="150"/>
    <n v="3000"/>
    <n v="13"/>
    <n v="24"/>
    <n v="450000"/>
  </r>
  <r>
    <d v="2024-02-22T00:00:00"/>
    <x v="1"/>
    <s v="Priya Sharma"/>
    <x v="1"/>
    <n v="140"/>
    <n v="2800"/>
    <n v="12"/>
    <n v="23"/>
    <n v="392000"/>
  </r>
  <r>
    <d v="2024-02-23T00:00:00"/>
    <x v="2"/>
    <s v="Rajesh Patel"/>
    <x v="2"/>
    <n v="200"/>
    <n v="4000"/>
    <n v="10"/>
    <n v="27"/>
    <n v="800000"/>
  </r>
  <r>
    <d v="2024-02-24T00:00:00"/>
    <x v="3"/>
    <s v="Meera Reddy"/>
    <x v="0"/>
    <n v="170"/>
    <n v="3400"/>
    <n v="15"/>
    <n v="28"/>
    <n v="578000"/>
  </r>
  <r>
    <d v="2024-02-25T00:00:00"/>
    <x v="0"/>
    <s v="Arun Kumar"/>
    <x v="1"/>
    <n v="120"/>
    <n v="2400"/>
    <n v="14"/>
    <n v="22"/>
    <n v="288000"/>
  </r>
  <r>
    <d v="2024-02-26T00:00:00"/>
    <x v="1"/>
    <s v="Priya Sharma"/>
    <x v="2"/>
    <n v="190"/>
    <n v="3800"/>
    <n v="11"/>
    <n v="20"/>
    <n v="722000"/>
  </r>
  <r>
    <d v="2024-02-27T00:00:00"/>
    <x v="2"/>
    <s v="Rajesh Patel"/>
    <x v="0"/>
    <n v="140"/>
    <n v="2800"/>
    <n v="7"/>
    <n v="21"/>
    <n v="392000"/>
  </r>
  <r>
    <d v="2024-02-28T00:00:00"/>
    <x v="3"/>
    <s v="Meera Reddy"/>
    <x v="1"/>
    <n v="200"/>
    <n v="4000"/>
    <n v="16"/>
    <n v="29"/>
    <n v="800000"/>
  </r>
  <r>
    <d v="2024-02-29T00:00:00"/>
    <x v="0"/>
    <s v="Arun Kumar"/>
    <x v="2"/>
    <n v="160"/>
    <n v="3200"/>
    <n v="13"/>
    <n v="23"/>
    <n v="512000"/>
  </r>
  <r>
    <d v="2024-03-01T00:00:00"/>
    <x v="1"/>
    <s v="Priya Sharma"/>
    <x v="0"/>
    <n v="180"/>
    <n v="3600"/>
    <n v="10"/>
    <n v="24"/>
    <n v="648000"/>
  </r>
  <r>
    <d v="2024-03-02T00:00:00"/>
    <x v="2"/>
    <s v="Rajesh Patel"/>
    <x v="1"/>
    <n v="220"/>
    <n v="4400"/>
    <n v="9"/>
    <n v="25"/>
    <n v="968000"/>
  </r>
  <r>
    <d v="2024-03-03T00:00:00"/>
    <x v="3"/>
    <s v="Meera Reddy"/>
    <x v="2"/>
    <n v="230"/>
    <n v="4600"/>
    <n v="17"/>
    <n v="30"/>
    <n v="1058000"/>
  </r>
  <r>
    <d v="2024-03-04T00:00:00"/>
    <x v="0"/>
    <s v="Arun Kumar"/>
    <x v="0"/>
    <n v="110"/>
    <n v="2200"/>
    <n v="11"/>
    <n v="21"/>
    <n v="242000"/>
  </r>
  <r>
    <d v="2024-03-05T00:00:00"/>
    <x v="1"/>
    <s v="Priya Sharma"/>
    <x v="1"/>
    <n v="130"/>
    <n v="2600"/>
    <n v="8"/>
    <n v="22"/>
    <n v="338000"/>
  </r>
  <r>
    <d v="2024-03-06T00:00:00"/>
    <x v="2"/>
    <s v="Rajesh Patel"/>
    <x v="2"/>
    <n v="150"/>
    <n v="3000"/>
    <n v="12"/>
    <n v="26"/>
    <n v="450000"/>
  </r>
  <r>
    <d v="2024-03-07T00:00:00"/>
    <x v="3"/>
    <s v="Meera Reddy"/>
    <x v="0"/>
    <n v="140"/>
    <n v="2800"/>
    <n v="13"/>
    <n v="23"/>
    <n v="392000"/>
  </r>
  <r>
    <d v="2024-03-08T00:00:00"/>
    <x v="0"/>
    <s v="Arun Kumar"/>
    <x v="1"/>
    <n v="170"/>
    <n v="3400"/>
    <n v="14"/>
    <n v="24"/>
    <n v="578000"/>
  </r>
  <r>
    <d v="2024-03-09T00:00:00"/>
    <x v="1"/>
    <s v="Priya Sharma"/>
    <x v="2"/>
    <n v="160"/>
    <n v="3200"/>
    <n v="16"/>
    <n v="27"/>
    <n v="512000"/>
  </r>
  <r>
    <d v="2024-03-10T00:00:00"/>
    <x v="2"/>
    <s v="Rajesh Patel"/>
    <x v="0"/>
    <n v="180"/>
    <n v="3600"/>
    <n v="10"/>
    <n v="22"/>
    <n v="648000"/>
  </r>
  <r>
    <d v="2024-03-11T00:00:00"/>
    <x v="3"/>
    <s v="Meera Reddy"/>
    <x v="1"/>
    <n v="150"/>
    <n v="3000"/>
    <n v="15"/>
    <n v="29"/>
    <n v="450000"/>
  </r>
  <r>
    <d v="2024-03-12T00:00:00"/>
    <x v="0"/>
    <s v="Arun Kumar"/>
    <x v="2"/>
    <n v="200"/>
    <n v="4000"/>
    <n v="12"/>
    <n v="25"/>
    <n v="800000"/>
  </r>
  <r>
    <d v="2024-03-13T00:00:00"/>
    <x v="1"/>
    <s v="Priya Sharma"/>
    <x v="0"/>
    <n v="140"/>
    <n v="2800"/>
    <n v="11"/>
    <n v="20"/>
    <n v="392000"/>
  </r>
  <r>
    <d v="2024-03-14T00:00:00"/>
    <x v="2"/>
    <s v="Rajesh Patel"/>
    <x v="1"/>
    <n v="160"/>
    <n v="3200"/>
    <n v="9"/>
    <n v="22"/>
    <n v="512000"/>
  </r>
  <r>
    <d v="2024-03-15T00:00:00"/>
    <x v="3"/>
    <s v="Meera Reddy"/>
    <x v="2"/>
    <n v="190"/>
    <n v="3800"/>
    <n v="13"/>
    <n v="26"/>
    <n v="722000"/>
  </r>
  <r>
    <d v="2024-03-16T00:00:00"/>
    <x v="0"/>
    <s v="Arun Kumar"/>
    <x v="1"/>
    <n v="200"/>
    <n v="4000"/>
    <n v="16"/>
    <n v="28"/>
    <n v="800000"/>
  </r>
  <r>
    <d v="2024-03-17T00:00:00"/>
    <x v="1"/>
    <s v="Priya Sharma"/>
    <x v="2"/>
    <n v="180"/>
    <n v="3600"/>
    <n v="15"/>
    <n v="30"/>
    <n v="648000"/>
  </r>
  <r>
    <d v="2024-03-18T00:00:00"/>
    <x v="2"/>
    <s v="Rajesh Patel"/>
    <x v="0"/>
    <n v="140"/>
    <n v="2800"/>
    <n v="6"/>
    <n v="21"/>
    <n v="392000"/>
  </r>
  <r>
    <d v="2024-03-19T00:00:00"/>
    <x v="3"/>
    <s v="Meera Reddy"/>
    <x v="1"/>
    <n v="220"/>
    <n v="4400"/>
    <n v="18"/>
    <n v="27"/>
    <n v="968000"/>
  </r>
  <r>
    <d v="2024-03-20T00:00:00"/>
    <x v="0"/>
    <s v="Arun Kumar"/>
    <x v="2"/>
    <n v="150"/>
    <n v="3000"/>
    <n v="14"/>
    <n v="22"/>
    <n v="450000"/>
  </r>
  <r>
    <d v="2024-03-21T00:00:00"/>
    <x v="1"/>
    <s v="Priya Sharma"/>
    <x v="0"/>
    <n v="160"/>
    <n v="3200"/>
    <n v="13"/>
    <n v="24"/>
    <n v="512000"/>
  </r>
  <r>
    <d v="2024-03-22T00:00:00"/>
    <x v="2"/>
    <s v="Rajesh Patel"/>
    <x v="1"/>
    <n v="190"/>
    <n v="3800"/>
    <n v="12"/>
    <n v="23"/>
    <n v="722000"/>
  </r>
  <r>
    <d v="2024-03-23T00:00:00"/>
    <x v="3"/>
    <s v="Meera Reddy"/>
    <x v="2"/>
    <n v="210"/>
    <n v="4200"/>
    <n v="16"/>
    <n v="28"/>
    <n v="882000"/>
  </r>
  <r>
    <d v="2024-03-24T00:00:00"/>
    <x v="0"/>
    <s v="Arun Kumar"/>
    <x v="0"/>
    <n v="170"/>
    <n v="3400"/>
    <n v="15"/>
    <n v="25"/>
    <n v="578000"/>
  </r>
  <r>
    <d v="2024-03-25T00:00:00"/>
    <x v="1"/>
    <s v="Priya Sharma"/>
    <x v="1"/>
    <n v="140"/>
    <n v="2800"/>
    <n v="10"/>
    <n v="22"/>
    <n v="392000"/>
  </r>
  <r>
    <d v="2024-03-26T00:00:00"/>
    <x v="2"/>
    <s v="Rajesh Patel"/>
    <x v="2"/>
    <n v="220"/>
    <n v="4400"/>
    <n v="14"/>
    <n v="30"/>
    <n v="968000"/>
  </r>
  <r>
    <d v="2024-03-27T00:00:00"/>
    <x v="3"/>
    <s v="Meera Reddy"/>
    <x v="0"/>
    <n v="130"/>
    <n v="2600"/>
    <n v="12"/>
    <n v="23"/>
    <n v="338000"/>
  </r>
  <r>
    <d v="2024-03-28T00:00:00"/>
    <x v="0"/>
    <s v="Arun Kumar"/>
    <x v="1"/>
    <n v="150"/>
    <n v="3000"/>
    <n v="13"/>
    <n v="24"/>
    <n v="450000"/>
  </r>
  <r>
    <d v="2024-03-29T00:00:00"/>
    <x v="1"/>
    <s v="Priya Sharma"/>
    <x v="2"/>
    <n v="200"/>
    <n v="4000"/>
    <n v="11"/>
    <n v="21"/>
    <n v="800000"/>
  </r>
  <r>
    <d v="2024-03-30T00:00:00"/>
    <x v="2"/>
    <s v="Rajesh Patel"/>
    <x v="0"/>
    <n v="160"/>
    <n v="3200"/>
    <n v="8"/>
    <n v="22"/>
    <n v="512000"/>
  </r>
  <r>
    <d v="2024-03-31T00:00:00"/>
    <x v="3"/>
    <s v="Meera Reddy"/>
    <x v="1"/>
    <n v="180"/>
    <n v="3600"/>
    <n v="17"/>
    <n v="28"/>
    <n v="64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91F44-E37A-482D-B004-9A71FBDDE853}" name="PivotTable4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G3:H7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</pivotFields>
  <rowFields count="2">
    <field x="2"/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Amount" fld="0" baseField="0" baseItem="0"/>
  </dataFields>
  <formats count="7"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F0D91-7588-425E-BAC5-CA17362049FC}" name="PivotTable6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9">
    <pivotField numFmtId="14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Amount" fld="5" baseField="0" baseItem="0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3" type="button" dataOnly="0" labelOnly="1" outline="0" axis="axisRow" fieldPosition="0"/>
    </format>
    <format dxfId="9">
      <pivotArea dataOnly="0" labelOnly="1" fieldPosition="0">
        <references count="1">
          <reference field="3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DDFCE-4EFC-4570-A21A-C32B28F524BF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18:E22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 Sold" fld="1" baseField="0" baseItem="0"/>
  </dataFields>
  <formats count="6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4BC0F-F23C-492A-8940-44B88350FC5F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26:H28" firstHeaderRow="1" firstDataRow="2" firstDataCol="1"/>
  <pivotFields count="2"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Items count="1">
    <i/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(Sales Amount)" fld="0" baseField="0" baseItem="0"/>
  </dataFields>
  <formats count="9"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offset="A1" fieldPosition="0"/>
    </format>
    <format dxfId="24">
      <pivotArea dataOnly="0" labelOnly="1" outline="0" axis="axisValues" fieldPosition="0"/>
    </format>
    <format dxfId="23">
      <pivotArea field="1" type="button" dataOnly="0" labelOnly="1" outline="0" axis="axisCol" fieldPosition="0"/>
    </format>
    <format dxfId="22">
      <pivotArea type="topRight" dataOnly="0" labelOnly="1" outline="0" fieldPosition="0"/>
    </format>
    <format dxfId="21">
      <pivotArea type="origin" dataOnly="0" labelOnly="1" outline="0" offset="A2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Col="1" outline="0" fieldPosition="0"/>
    </format>
  </formats>
  <chartFormats count="3"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Sum (Sales Amount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021DE-DDF2-4B3B-A0C0-8CF626E0BD84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0:B1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 Amount" fld="0" baseField="0" baseItem="0"/>
  </dataFields>
  <formats count="6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" type="button" dataOnly="0" labelOnly="1" outline="0" axis="axisRow" fieldPosition="0"/>
    </format>
    <format dxfId="30">
      <pivotArea dataOnly="0" labelOnly="1" fieldPosition="0">
        <references count="1">
          <reference field="1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D7652-448C-457A-9302-0A13E40FAF72}" name="PivotTable10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>
  <location ref="G18:H23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</items>
    </pivotField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  <pivotField axis="axisRow" allDrilled="1" subtotalTop="0" showAll="0" dataSourceSort="1" defaultSubtotal="0" defaultAttributeDrillState="1">
      <items count="4">
        <item x="0" e="0"/>
        <item x="1" e="0"/>
        <item x="2" e="0"/>
        <item x="3" e="0"/>
      </items>
    </pivotField>
  </pivotFields>
  <rowFields count="3">
    <field x="3"/>
    <field x="2"/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 Sold" fld="0" baseField="0" baseItem="0"/>
  </dataFields>
  <formats count="6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3" type="button" dataOnly="0" labelOnly="1" outline="0" axis="axisRow" fieldPosition="0"/>
    </format>
    <format dxfId="36">
      <pivotArea dataOnly="0" labelOnly="1" fieldPosition="0">
        <references count="1">
          <reference field="3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"/>
    <rowHierarchyUsage hierarchyUsage="9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CBE57-E0A7-4760-B3E3-C3059ACE6F9A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5:B29" firstHeaderRow="1" firstDataRow="1" firstDataCol="1"/>
  <pivotFields count="3">
    <pivotField axis="axisRow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  <pivotField dataField="1" subtotalTop="0" showAll="0" defaultSubtotal="0"/>
  </pivotFields>
  <rowFields count="2">
    <field x="1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Amount" fld="2" baseField="0" baseItem="0"/>
  </dataFields>
  <formats count="6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" type="button" dataOnly="0" labelOnly="1" outline="0" axis="axisRow" fieldPosition="0"/>
    </format>
    <format dxfId="42">
      <pivotArea dataOnly="0" labelOnly="1" fieldPosition="0">
        <references count="1">
          <reference field="1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2813B-CFB0-4DFC-8BB1-4E4FB8D454D1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8:B2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Amount" fld="0" baseField="0" baseItem="0"/>
  </dataFields>
  <formats count="6"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" type="button" dataOnly="0" labelOnly="1" outline="0" axis="axisRow" fieldPosition="0"/>
    </format>
    <format dxfId="48">
      <pivotArea dataOnly="0" labelOnly="1" fieldPosition="0">
        <references count="1">
          <reference field="1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C0B1C-7378-4044-90CE-E30D446DA060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3:E7" firstHeaderRow="1" firstDataRow="1" firstDataCol="1"/>
  <pivotFields count="3">
    <pivotField axis="axisRow" allDrilled="1" subtotalTop="0" showAll="0" dataSourceSort="1" defaultSubtotal="0" defaultAttributeDrillState="1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  <pivotField dataField="1" subtotalTop="0" showAll="0" defaultSubtotal="0"/>
  </pivotFields>
  <rowFields count="2">
    <field x="1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 Sold" fld="2" baseField="0" baseItem="0"/>
  </dataFields>
  <formats count="6"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1" type="button" dataOnly="0" labelOnly="1" outline="0" axis="axisRow" fieldPosition="0"/>
    </format>
    <format dxfId="54">
      <pivotArea dataOnly="0" labelOnly="1" fieldPosition="0">
        <references count="1">
          <reference field="1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ass!$A$20:$I$110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A8E7AE-BA09-41F6-8665-96A2C8E2CACD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G10:H15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 Margin (%)" fld="1" baseField="0" baseItem="0"/>
  </dataFields>
  <formats count="6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0" type="button" dataOnly="0" labelOnly="1" outline="0" axis="axisRow" fieldPosition="0"/>
    </format>
    <format dxfId="60">
      <pivotArea dataOnly="0" labelOnly="1" fieldPosition="0">
        <references count="1">
          <reference field="0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</formats>
  <chartFormats count="1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A61B5A-8F9B-493F-BE80-D9ACB201E006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10:E1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 Sold" fld="0" baseField="0" baseItem="0"/>
  </dataFields>
  <formats count="6"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1" type="button" dataOnly="0" labelOnly="1" outline="0" axis="axisRow" fieldPosition="0"/>
    </format>
    <format dxfId="66">
      <pivotArea dataOnly="0" labelOnly="1" fieldPosition="0">
        <references count="1">
          <reference field="1" count="0"/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</formats>
  <chartFormats count="5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21AED-A32F-45B5-A36F-BD8946B479DD}" name="PivotTable1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2:B3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 Margin (%)" fld="0" baseField="0" baseItem="0"/>
  </dataFields>
  <formats count="6"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1" type="button" dataOnly="0" labelOnly="1" outline="0" axis="axisRow" fieldPosition="0"/>
    </format>
    <format dxfId="72">
      <pivotArea dataOnly="0" labelOnly="1" fieldPosition="0">
        <references count="1">
          <reference field="1" count="0"/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E750-B913-4127-9997-D15E9F90CF3D}">
  <sheetPr>
    <pageSetUpPr fitToPage="1"/>
  </sheetPr>
  <dimension ref="A1:N174"/>
  <sheetViews>
    <sheetView tabSelected="1" zoomScale="94" zoomScaleNormal="100" workbookViewId="0">
      <pane ySplit="1" topLeftCell="A21" activePane="bottomLeft" state="frozen"/>
      <selection pane="bottomLeft" activeCell="A2" sqref="A2"/>
    </sheetView>
  </sheetViews>
  <sheetFormatPr defaultRowHeight="14.4" x14ac:dyDescent="0.3"/>
  <cols>
    <col min="1" max="1" width="27.5546875" customWidth="1"/>
    <col min="2" max="2" width="16.33203125" customWidth="1"/>
    <col min="3" max="3" width="18.6640625" bestFit="1" customWidth="1"/>
    <col min="4" max="4" width="19.88671875" customWidth="1"/>
    <col min="5" max="5" width="16.5546875" customWidth="1"/>
    <col min="6" max="6" width="12.109375" customWidth="1"/>
    <col min="7" max="7" width="16" customWidth="1"/>
    <col min="8" max="8" width="22.44140625" bestFit="1" customWidth="1"/>
    <col min="9" max="9" width="13" customWidth="1"/>
    <col min="10" max="10" width="11.21875" customWidth="1"/>
    <col min="11" max="11" width="10.21875" customWidth="1"/>
    <col min="12" max="12" width="10.109375" customWidth="1"/>
    <col min="13" max="13" width="9.6640625" customWidth="1"/>
    <col min="14" max="14" width="10.44140625" customWidth="1"/>
  </cols>
  <sheetData>
    <row r="1" spans="1:10" ht="72.75" customHeight="1" x14ac:dyDescent="0.3">
      <c r="A1" s="44" t="s">
        <v>29</v>
      </c>
      <c r="B1" s="44"/>
      <c r="C1" s="44"/>
      <c r="D1" s="44"/>
      <c r="E1" s="44"/>
      <c r="F1" s="44"/>
      <c r="G1" s="44"/>
      <c r="H1" s="45" t="s">
        <v>54</v>
      </c>
      <c r="I1" s="46"/>
      <c r="J1" s="46"/>
    </row>
    <row r="20" spans="1:14" ht="36" customHeight="1" x14ac:dyDescent="0.3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35</v>
      </c>
      <c r="J20" s="1" t="s">
        <v>36</v>
      </c>
      <c r="K20" s="1" t="s">
        <v>37</v>
      </c>
      <c r="L20" s="1" t="s">
        <v>38</v>
      </c>
      <c r="M20" s="1" t="s">
        <v>39</v>
      </c>
      <c r="N20" s="1" t="s">
        <v>40</v>
      </c>
    </row>
    <row r="21" spans="1:14" ht="15" customHeight="1" x14ac:dyDescent="0.3">
      <c r="A21" s="2">
        <v>45292</v>
      </c>
      <c r="B21" s="3" t="s">
        <v>8</v>
      </c>
      <c r="C21" s="3" t="s">
        <v>9</v>
      </c>
      <c r="D21" s="3" t="s">
        <v>10</v>
      </c>
      <c r="E21" s="3">
        <v>150</v>
      </c>
      <c r="F21" s="3">
        <v>3000</v>
      </c>
      <c r="G21" s="3">
        <v>10</v>
      </c>
      <c r="H21" s="3">
        <v>20</v>
      </c>
      <c r="I21" s="4" t="str">
        <f>TEXT(A21,"mmm")</f>
        <v>Jan</v>
      </c>
      <c r="J21" s="4">
        <v>450000</v>
      </c>
      <c r="K21" s="4" cm="1">
        <f t="array" ref="K21:K110">E21:E110*F21:F110</f>
        <v>450000</v>
      </c>
      <c r="L21" s="4">
        <f>F21*(H21/100)</f>
        <v>600</v>
      </c>
      <c r="M21" s="4">
        <f>F21-(F21*G21/100)</f>
        <v>2700</v>
      </c>
      <c r="N21" s="4">
        <f>M21*(H21/100)</f>
        <v>540</v>
      </c>
    </row>
    <row r="22" spans="1:14" x14ac:dyDescent="0.3">
      <c r="A22" s="2">
        <v>45293</v>
      </c>
      <c r="B22" s="3" t="s">
        <v>11</v>
      </c>
      <c r="C22" s="3" t="s">
        <v>12</v>
      </c>
      <c r="D22" s="3" t="s">
        <v>13</v>
      </c>
      <c r="E22" s="3">
        <v>200</v>
      </c>
      <c r="F22" s="3">
        <v>4000</v>
      </c>
      <c r="G22" s="3">
        <v>15</v>
      </c>
      <c r="H22" s="3">
        <v>25</v>
      </c>
      <c r="I22" s="4" t="str">
        <f t="shared" ref="I22:I85" si="0">TEXT(A22,"mmm")</f>
        <v>Jan</v>
      </c>
      <c r="J22" s="4">
        <v>800000</v>
      </c>
      <c r="K22" s="4">
        <v>800000</v>
      </c>
      <c r="L22" s="4">
        <f t="shared" ref="L22:L85" si="1">F22*(H22/100)</f>
        <v>1000</v>
      </c>
      <c r="M22" s="4">
        <f t="shared" ref="M22:M85" si="2">F22-(F22*G22/100)</f>
        <v>3400</v>
      </c>
      <c r="N22" s="4">
        <f t="shared" ref="N22:N85" si="3">M22*(H22/100)</f>
        <v>850</v>
      </c>
    </row>
    <row r="23" spans="1:14" x14ac:dyDescent="0.3">
      <c r="A23" s="2">
        <v>45294</v>
      </c>
      <c r="B23" s="3" t="s">
        <v>14</v>
      </c>
      <c r="C23" s="3" t="s">
        <v>15</v>
      </c>
      <c r="D23" s="3" t="s">
        <v>10</v>
      </c>
      <c r="E23" s="3">
        <v>120</v>
      </c>
      <c r="F23" s="3">
        <v>2400</v>
      </c>
      <c r="G23" s="3">
        <v>5</v>
      </c>
      <c r="H23" s="3">
        <v>18</v>
      </c>
      <c r="I23" s="4" t="str">
        <f t="shared" si="0"/>
        <v>Jan</v>
      </c>
      <c r="J23" s="4">
        <v>288000</v>
      </c>
      <c r="K23" s="4">
        <v>288000</v>
      </c>
      <c r="L23" s="4">
        <f t="shared" si="1"/>
        <v>432</v>
      </c>
      <c r="M23" s="4">
        <f t="shared" si="2"/>
        <v>2280</v>
      </c>
      <c r="N23" s="4">
        <f t="shared" si="3"/>
        <v>410.4</v>
      </c>
    </row>
    <row r="24" spans="1:14" x14ac:dyDescent="0.3">
      <c r="A24" s="2">
        <v>45295</v>
      </c>
      <c r="B24" s="3" t="s">
        <v>16</v>
      </c>
      <c r="C24" s="3" t="s">
        <v>17</v>
      </c>
      <c r="D24" s="3" t="s">
        <v>18</v>
      </c>
      <c r="E24" s="3">
        <v>250</v>
      </c>
      <c r="F24" s="3">
        <v>5000</v>
      </c>
      <c r="G24" s="3">
        <v>20</v>
      </c>
      <c r="H24" s="3">
        <v>30</v>
      </c>
      <c r="I24" s="4" t="str">
        <f t="shared" si="0"/>
        <v>Jan</v>
      </c>
      <c r="J24" s="4">
        <v>1250000</v>
      </c>
      <c r="K24" s="4">
        <v>1250000</v>
      </c>
      <c r="L24" s="4">
        <f t="shared" si="1"/>
        <v>1500</v>
      </c>
      <c r="M24" s="4">
        <f t="shared" si="2"/>
        <v>4000</v>
      </c>
      <c r="N24" s="4">
        <f t="shared" si="3"/>
        <v>1200</v>
      </c>
    </row>
    <row r="25" spans="1:14" x14ac:dyDescent="0.3">
      <c r="A25" s="2">
        <v>45296</v>
      </c>
      <c r="B25" s="3" t="s">
        <v>8</v>
      </c>
      <c r="C25" s="3" t="s">
        <v>9</v>
      </c>
      <c r="D25" s="3" t="s">
        <v>13</v>
      </c>
      <c r="E25" s="3">
        <v>100</v>
      </c>
      <c r="F25" s="3">
        <v>2000</v>
      </c>
      <c r="G25" s="3">
        <v>10</v>
      </c>
      <c r="H25" s="3">
        <v>22</v>
      </c>
      <c r="I25" s="4" t="str">
        <f t="shared" si="0"/>
        <v>Jan</v>
      </c>
      <c r="J25" s="4">
        <v>200000</v>
      </c>
      <c r="K25" s="4">
        <v>200000</v>
      </c>
      <c r="L25" s="4">
        <f t="shared" si="1"/>
        <v>440</v>
      </c>
      <c r="M25" s="4">
        <f t="shared" si="2"/>
        <v>1800</v>
      </c>
      <c r="N25" s="4">
        <f t="shared" si="3"/>
        <v>396</v>
      </c>
    </row>
    <row r="26" spans="1:14" x14ac:dyDescent="0.3">
      <c r="A26" s="2">
        <v>45297</v>
      </c>
      <c r="B26" s="3" t="s">
        <v>11</v>
      </c>
      <c r="C26" s="3" t="s">
        <v>12</v>
      </c>
      <c r="D26" s="3" t="s">
        <v>10</v>
      </c>
      <c r="E26" s="3">
        <v>180</v>
      </c>
      <c r="F26" s="3">
        <v>3600</v>
      </c>
      <c r="G26" s="3">
        <v>12</v>
      </c>
      <c r="H26" s="3">
        <v>19</v>
      </c>
      <c r="I26" s="4" t="str">
        <f t="shared" si="0"/>
        <v>Jan</v>
      </c>
      <c r="J26" s="4">
        <v>648000</v>
      </c>
      <c r="K26" s="4">
        <v>648000</v>
      </c>
      <c r="L26" s="4">
        <f t="shared" si="1"/>
        <v>684</v>
      </c>
      <c r="M26" s="4">
        <f t="shared" si="2"/>
        <v>3168</v>
      </c>
      <c r="N26" s="4">
        <f t="shared" si="3"/>
        <v>601.91999999999996</v>
      </c>
    </row>
    <row r="27" spans="1:14" x14ac:dyDescent="0.3">
      <c r="A27" s="2">
        <v>45298</v>
      </c>
      <c r="B27" s="3" t="s">
        <v>14</v>
      </c>
      <c r="C27" s="3" t="s">
        <v>15</v>
      </c>
      <c r="D27" s="3" t="s">
        <v>13</v>
      </c>
      <c r="E27" s="3">
        <v>150</v>
      </c>
      <c r="F27" s="3">
        <v>3000</v>
      </c>
      <c r="G27" s="3">
        <v>8</v>
      </c>
      <c r="H27" s="3">
        <v>21</v>
      </c>
      <c r="I27" s="4" t="str">
        <f t="shared" si="0"/>
        <v>Jan</v>
      </c>
      <c r="J27" s="4">
        <v>450000</v>
      </c>
      <c r="K27" s="4">
        <v>450000</v>
      </c>
      <c r="L27" s="4">
        <f t="shared" si="1"/>
        <v>630</v>
      </c>
      <c r="M27" s="4">
        <f t="shared" si="2"/>
        <v>2760</v>
      </c>
      <c r="N27" s="4">
        <f t="shared" si="3"/>
        <v>579.6</v>
      </c>
    </row>
    <row r="28" spans="1:14" x14ac:dyDescent="0.3">
      <c r="A28" s="2">
        <v>45299</v>
      </c>
      <c r="B28" s="3" t="s">
        <v>16</v>
      </c>
      <c r="C28" s="3" t="s">
        <v>17</v>
      </c>
      <c r="D28" s="3" t="s">
        <v>10</v>
      </c>
      <c r="E28" s="3">
        <v>200</v>
      </c>
      <c r="F28" s="3">
        <v>4000</v>
      </c>
      <c r="G28" s="3">
        <v>15</v>
      </c>
      <c r="H28" s="3">
        <v>27</v>
      </c>
      <c r="I28" s="4" t="str">
        <f t="shared" si="0"/>
        <v>Jan</v>
      </c>
      <c r="J28" s="4">
        <v>800000</v>
      </c>
      <c r="K28" s="4">
        <v>800000</v>
      </c>
      <c r="L28" s="4">
        <f t="shared" si="1"/>
        <v>1080</v>
      </c>
      <c r="M28" s="4">
        <f t="shared" si="2"/>
        <v>3400</v>
      </c>
      <c r="N28" s="4">
        <f t="shared" si="3"/>
        <v>918.00000000000011</v>
      </c>
    </row>
    <row r="29" spans="1:14" x14ac:dyDescent="0.3">
      <c r="A29" s="2">
        <v>45300</v>
      </c>
      <c r="B29" s="3" t="s">
        <v>8</v>
      </c>
      <c r="C29" s="3" t="s">
        <v>9</v>
      </c>
      <c r="D29" s="3" t="s">
        <v>18</v>
      </c>
      <c r="E29" s="3">
        <v>170</v>
      </c>
      <c r="F29" s="3">
        <v>3400</v>
      </c>
      <c r="G29" s="3">
        <v>18</v>
      </c>
      <c r="H29" s="3">
        <v>23</v>
      </c>
      <c r="I29" s="4" t="str">
        <f t="shared" si="0"/>
        <v>Jan</v>
      </c>
      <c r="J29" s="4">
        <v>578000</v>
      </c>
      <c r="K29" s="4">
        <v>578000</v>
      </c>
      <c r="L29" s="4">
        <f t="shared" si="1"/>
        <v>782</v>
      </c>
      <c r="M29" s="4">
        <f t="shared" si="2"/>
        <v>2788</v>
      </c>
      <c r="N29" s="4">
        <f t="shared" si="3"/>
        <v>641.24</v>
      </c>
    </row>
    <row r="30" spans="1:14" x14ac:dyDescent="0.3">
      <c r="A30" s="2">
        <v>45301</v>
      </c>
      <c r="B30" s="3" t="s">
        <v>11</v>
      </c>
      <c r="C30" s="3" t="s">
        <v>12</v>
      </c>
      <c r="D30" s="3" t="s">
        <v>18</v>
      </c>
      <c r="E30" s="3">
        <v>130</v>
      </c>
      <c r="F30" s="3">
        <v>2600</v>
      </c>
      <c r="G30" s="3">
        <v>10</v>
      </c>
      <c r="H30" s="3">
        <v>20</v>
      </c>
      <c r="I30" s="4" t="str">
        <f t="shared" si="0"/>
        <v>Jan</v>
      </c>
      <c r="J30" s="4">
        <v>338000</v>
      </c>
      <c r="K30" s="4">
        <v>338000</v>
      </c>
      <c r="L30" s="4">
        <f t="shared" si="1"/>
        <v>520</v>
      </c>
      <c r="M30" s="4">
        <f t="shared" si="2"/>
        <v>2340</v>
      </c>
      <c r="N30" s="4">
        <f t="shared" si="3"/>
        <v>468</v>
      </c>
    </row>
    <row r="31" spans="1:14" x14ac:dyDescent="0.3">
      <c r="A31" s="2">
        <v>45302</v>
      </c>
      <c r="B31" s="3" t="s">
        <v>14</v>
      </c>
      <c r="C31" s="3" t="s">
        <v>15</v>
      </c>
      <c r="D31" s="3" t="s">
        <v>10</v>
      </c>
      <c r="E31" s="3">
        <v>160</v>
      </c>
      <c r="F31" s="3">
        <v>3200</v>
      </c>
      <c r="G31" s="3">
        <v>5</v>
      </c>
      <c r="H31" s="3">
        <v>22</v>
      </c>
      <c r="I31" s="4" t="str">
        <f t="shared" si="0"/>
        <v>Jan</v>
      </c>
      <c r="J31" s="4">
        <v>512000</v>
      </c>
      <c r="K31" s="4">
        <v>512000</v>
      </c>
      <c r="L31" s="4">
        <f t="shared" si="1"/>
        <v>704</v>
      </c>
      <c r="M31" s="4">
        <f t="shared" si="2"/>
        <v>3040</v>
      </c>
      <c r="N31" s="4">
        <f t="shared" si="3"/>
        <v>668.8</v>
      </c>
    </row>
    <row r="32" spans="1:14" x14ac:dyDescent="0.3">
      <c r="A32" s="2">
        <v>45303</v>
      </c>
      <c r="B32" s="3" t="s">
        <v>16</v>
      </c>
      <c r="C32" s="3" t="s">
        <v>17</v>
      </c>
      <c r="D32" s="3" t="s">
        <v>13</v>
      </c>
      <c r="E32" s="3">
        <v>180</v>
      </c>
      <c r="F32" s="3">
        <v>3600</v>
      </c>
      <c r="G32" s="3">
        <v>12</v>
      </c>
      <c r="H32" s="3">
        <v>25</v>
      </c>
      <c r="I32" s="4" t="str">
        <f t="shared" si="0"/>
        <v>Jan</v>
      </c>
      <c r="J32" s="4">
        <v>648000</v>
      </c>
      <c r="K32" s="4">
        <v>648000</v>
      </c>
      <c r="L32" s="4">
        <f t="shared" si="1"/>
        <v>900</v>
      </c>
      <c r="M32" s="4">
        <f t="shared" si="2"/>
        <v>3168</v>
      </c>
      <c r="N32" s="4">
        <f t="shared" si="3"/>
        <v>792</v>
      </c>
    </row>
    <row r="33" spans="1:14" x14ac:dyDescent="0.3">
      <c r="A33" s="2">
        <v>45304</v>
      </c>
      <c r="B33" s="3" t="s">
        <v>8</v>
      </c>
      <c r="C33" s="3" t="s">
        <v>9</v>
      </c>
      <c r="D33" s="3" t="s">
        <v>13</v>
      </c>
      <c r="E33" s="3">
        <v>140</v>
      </c>
      <c r="F33" s="3">
        <v>2800</v>
      </c>
      <c r="G33" s="3">
        <v>11</v>
      </c>
      <c r="H33" s="3">
        <v>24</v>
      </c>
      <c r="I33" s="4" t="str">
        <f t="shared" si="0"/>
        <v>Jan</v>
      </c>
      <c r="J33" s="4">
        <v>392000</v>
      </c>
      <c r="K33" s="4">
        <v>392000</v>
      </c>
      <c r="L33" s="4">
        <f t="shared" si="1"/>
        <v>672</v>
      </c>
      <c r="M33" s="4">
        <f t="shared" si="2"/>
        <v>2492</v>
      </c>
      <c r="N33" s="4">
        <f t="shared" si="3"/>
        <v>598.07999999999993</v>
      </c>
    </row>
    <row r="34" spans="1:14" x14ac:dyDescent="0.3">
      <c r="A34" s="2">
        <v>45305</v>
      </c>
      <c r="B34" s="3" t="s">
        <v>11</v>
      </c>
      <c r="C34" s="3" t="s">
        <v>12</v>
      </c>
      <c r="D34" s="3" t="s">
        <v>10</v>
      </c>
      <c r="E34" s="3">
        <v>150</v>
      </c>
      <c r="F34" s="3">
        <v>3000</v>
      </c>
      <c r="G34" s="3">
        <v>8</v>
      </c>
      <c r="H34" s="3">
        <v>20</v>
      </c>
      <c r="I34" s="4" t="str">
        <f t="shared" si="0"/>
        <v>Jan</v>
      </c>
      <c r="J34" s="4">
        <v>450000</v>
      </c>
      <c r="K34" s="4">
        <v>450000</v>
      </c>
      <c r="L34" s="4">
        <f t="shared" si="1"/>
        <v>600</v>
      </c>
      <c r="M34" s="4">
        <f t="shared" si="2"/>
        <v>2760</v>
      </c>
      <c r="N34" s="4">
        <f t="shared" si="3"/>
        <v>552</v>
      </c>
    </row>
    <row r="35" spans="1:14" x14ac:dyDescent="0.3">
      <c r="A35" s="2">
        <v>45306</v>
      </c>
      <c r="B35" s="3" t="s">
        <v>14</v>
      </c>
      <c r="C35" s="3" t="s">
        <v>15</v>
      </c>
      <c r="D35" s="3" t="s">
        <v>18</v>
      </c>
      <c r="E35" s="3">
        <v>190</v>
      </c>
      <c r="F35" s="3">
        <v>3800</v>
      </c>
      <c r="G35" s="3">
        <v>7</v>
      </c>
      <c r="H35" s="3">
        <v>19</v>
      </c>
      <c r="I35" s="4" t="str">
        <f t="shared" si="0"/>
        <v>Jan</v>
      </c>
      <c r="J35" s="4">
        <v>722000</v>
      </c>
      <c r="K35" s="4">
        <v>722000</v>
      </c>
      <c r="L35" s="4">
        <f t="shared" si="1"/>
        <v>722</v>
      </c>
      <c r="M35" s="4">
        <f t="shared" si="2"/>
        <v>3534</v>
      </c>
      <c r="N35" s="4">
        <f t="shared" si="3"/>
        <v>671.46</v>
      </c>
    </row>
    <row r="36" spans="1:14" x14ac:dyDescent="0.3">
      <c r="A36" s="2">
        <v>45307</v>
      </c>
      <c r="B36" s="3" t="s">
        <v>16</v>
      </c>
      <c r="C36" s="3" t="s">
        <v>17</v>
      </c>
      <c r="D36" s="3" t="s">
        <v>18</v>
      </c>
      <c r="E36" s="3">
        <v>210</v>
      </c>
      <c r="F36" s="3">
        <v>4200</v>
      </c>
      <c r="G36" s="3">
        <v>16</v>
      </c>
      <c r="H36" s="3">
        <v>28</v>
      </c>
      <c r="I36" s="4" t="str">
        <f t="shared" si="0"/>
        <v>Jan</v>
      </c>
      <c r="J36" s="4">
        <v>882000</v>
      </c>
      <c r="K36" s="4">
        <v>882000</v>
      </c>
      <c r="L36" s="4">
        <f t="shared" si="1"/>
        <v>1176</v>
      </c>
      <c r="M36" s="4">
        <f t="shared" si="2"/>
        <v>3528</v>
      </c>
      <c r="N36" s="4">
        <f t="shared" si="3"/>
        <v>987.84000000000015</v>
      </c>
    </row>
    <row r="37" spans="1:14" x14ac:dyDescent="0.3">
      <c r="A37" s="2">
        <v>45308</v>
      </c>
      <c r="B37" s="3" t="s">
        <v>8</v>
      </c>
      <c r="C37" s="3" t="s">
        <v>9</v>
      </c>
      <c r="D37" s="3" t="s">
        <v>18</v>
      </c>
      <c r="E37" s="3">
        <v>160</v>
      </c>
      <c r="F37" s="3">
        <v>3200</v>
      </c>
      <c r="G37" s="3">
        <v>12</v>
      </c>
      <c r="H37" s="3">
        <v>22</v>
      </c>
      <c r="I37" s="4" t="str">
        <f t="shared" si="0"/>
        <v>Jan</v>
      </c>
      <c r="J37" s="4">
        <v>512000</v>
      </c>
      <c r="K37" s="4">
        <v>512000</v>
      </c>
      <c r="L37" s="4">
        <f t="shared" si="1"/>
        <v>704</v>
      </c>
      <c r="M37" s="4">
        <f t="shared" si="2"/>
        <v>2816</v>
      </c>
      <c r="N37" s="4">
        <f t="shared" si="3"/>
        <v>619.52</v>
      </c>
    </row>
    <row r="38" spans="1:14" x14ac:dyDescent="0.3">
      <c r="A38" s="2">
        <v>45309</v>
      </c>
      <c r="B38" s="3" t="s">
        <v>11</v>
      </c>
      <c r="C38" s="3" t="s">
        <v>12</v>
      </c>
      <c r="D38" s="3" t="s">
        <v>13</v>
      </c>
      <c r="E38" s="3">
        <v>170</v>
      </c>
      <c r="F38" s="3">
        <v>3400</v>
      </c>
      <c r="G38" s="3">
        <v>14</v>
      </c>
      <c r="H38" s="3">
        <v>26</v>
      </c>
      <c r="I38" s="4" t="str">
        <f t="shared" si="0"/>
        <v>Jan</v>
      </c>
      <c r="J38" s="4">
        <v>578000</v>
      </c>
      <c r="K38" s="4">
        <v>578000</v>
      </c>
      <c r="L38" s="4">
        <f t="shared" si="1"/>
        <v>884</v>
      </c>
      <c r="M38" s="4">
        <f t="shared" si="2"/>
        <v>2924</v>
      </c>
      <c r="N38" s="4">
        <f t="shared" si="3"/>
        <v>760.24</v>
      </c>
    </row>
    <row r="39" spans="1:14" x14ac:dyDescent="0.3">
      <c r="A39" s="2">
        <v>45310</v>
      </c>
      <c r="B39" s="3" t="s">
        <v>14</v>
      </c>
      <c r="C39" s="3" t="s">
        <v>15</v>
      </c>
      <c r="D39" s="3" t="s">
        <v>10</v>
      </c>
      <c r="E39" s="3">
        <v>140</v>
      </c>
      <c r="F39" s="3">
        <v>2800</v>
      </c>
      <c r="G39" s="3">
        <v>6</v>
      </c>
      <c r="H39" s="3">
        <v>21</v>
      </c>
      <c r="I39" s="4" t="str">
        <f t="shared" si="0"/>
        <v>Jan</v>
      </c>
      <c r="J39" s="4">
        <v>392000</v>
      </c>
      <c r="K39" s="4">
        <v>392000</v>
      </c>
      <c r="L39" s="4">
        <f t="shared" si="1"/>
        <v>588</v>
      </c>
      <c r="M39" s="4">
        <f t="shared" si="2"/>
        <v>2632</v>
      </c>
      <c r="N39" s="4">
        <f t="shared" si="3"/>
        <v>552.72</v>
      </c>
    </row>
    <row r="40" spans="1:14" x14ac:dyDescent="0.3">
      <c r="A40" s="2">
        <v>45311</v>
      </c>
      <c r="B40" s="3" t="s">
        <v>16</v>
      </c>
      <c r="C40" s="3" t="s">
        <v>17</v>
      </c>
      <c r="D40" s="3" t="s">
        <v>13</v>
      </c>
      <c r="E40" s="3">
        <v>220</v>
      </c>
      <c r="F40" s="3">
        <v>4400</v>
      </c>
      <c r="G40" s="3">
        <v>18</v>
      </c>
      <c r="H40" s="3">
        <v>29</v>
      </c>
      <c r="I40" s="4" t="str">
        <f t="shared" si="0"/>
        <v>Jan</v>
      </c>
      <c r="J40" s="4">
        <v>968000</v>
      </c>
      <c r="K40" s="4">
        <v>968000</v>
      </c>
      <c r="L40" s="4">
        <f t="shared" si="1"/>
        <v>1276</v>
      </c>
      <c r="M40" s="4">
        <f t="shared" si="2"/>
        <v>3608</v>
      </c>
      <c r="N40" s="4">
        <f t="shared" si="3"/>
        <v>1046.32</v>
      </c>
    </row>
    <row r="41" spans="1:14" x14ac:dyDescent="0.3">
      <c r="A41" s="2">
        <v>45312</v>
      </c>
      <c r="B41" s="3" t="s">
        <v>8</v>
      </c>
      <c r="C41" s="3" t="s">
        <v>9</v>
      </c>
      <c r="D41" s="3" t="s">
        <v>10</v>
      </c>
      <c r="E41" s="3">
        <v>130</v>
      </c>
      <c r="F41" s="3">
        <v>2600</v>
      </c>
      <c r="G41" s="3">
        <v>11</v>
      </c>
      <c r="H41" s="3">
        <v>23</v>
      </c>
      <c r="I41" s="4" t="str">
        <f t="shared" si="0"/>
        <v>Jan</v>
      </c>
      <c r="J41" s="4">
        <v>338000</v>
      </c>
      <c r="K41" s="4">
        <v>338000</v>
      </c>
      <c r="L41" s="4">
        <f t="shared" si="1"/>
        <v>598</v>
      </c>
      <c r="M41" s="4">
        <f t="shared" si="2"/>
        <v>2314</v>
      </c>
      <c r="N41" s="4">
        <f t="shared" si="3"/>
        <v>532.22</v>
      </c>
    </row>
    <row r="42" spans="1:14" x14ac:dyDescent="0.3">
      <c r="A42" s="2">
        <v>45313</v>
      </c>
      <c r="B42" s="3" t="s">
        <v>11</v>
      </c>
      <c r="C42" s="3" t="s">
        <v>12</v>
      </c>
      <c r="D42" s="3" t="s">
        <v>18</v>
      </c>
      <c r="E42" s="3">
        <v>140</v>
      </c>
      <c r="F42" s="3">
        <v>2800</v>
      </c>
      <c r="G42" s="3">
        <v>9</v>
      </c>
      <c r="H42" s="3">
        <v>20</v>
      </c>
      <c r="I42" s="4" t="str">
        <f t="shared" si="0"/>
        <v>Jan</v>
      </c>
      <c r="J42" s="4">
        <v>392000</v>
      </c>
      <c r="K42" s="4">
        <v>392000</v>
      </c>
      <c r="L42" s="4">
        <f t="shared" si="1"/>
        <v>560</v>
      </c>
      <c r="M42" s="4">
        <f t="shared" si="2"/>
        <v>2548</v>
      </c>
      <c r="N42" s="4">
        <f t="shared" si="3"/>
        <v>509.6</v>
      </c>
    </row>
    <row r="43" spans="1:14" x14ac:dyDescent="0.3">
      <c r="A43" s="2">
        <v>45314</v>
      </c>
      <c r="B43" s="3" t="s">
        <v>14</v>
      </c>
      <c r="C43" s="3" t="s">
        <v>15</v>
      </c>
      <c r="D43" s="3" t="s">
        <v>13</v>
      </c>
      <c r="E43" s="3">
        <v>190</v>
      </c>
      <c r="F43" s="3">
        <v>3800</v>
      </c>
      <c r="G43" s="3">
        <v>10</v>
      </c>
      <c r="H43" s="3">
        <v>22</v>
      </c>
      <c r="I43" s="4" t="str">
        <f t="shared" si="0"/>
        <v>Jan</v>
      </c>
      <c r="J43" s="4">
        <v>722000</v>
      </c>
      <c r="K43" s="4">
        <v>722000</v>
      </c>
      <c r="L43" s="4">
        <f t="shared" si="1"/>
        <v>836</v>
      </c>
      <c r="M43" s="4">
        <f t="shared" si="2"/>
        <v>3420</v>
      </c>
      <c r="N43" s="4">
        <f t="shared" si="3"/>
        <v>752.4</v>
      </c>
    </row>
    <row r="44" spans="1:14" x14ac:dyDescent="0.3">
      <c r="A44" s="2">
        <v>45315</v>
      </c>
      <c r="B44" s="3" t="s">
        <v>16</v>
      </c>
      <c r="C44" s="3" t="s">
        <v>17</v>
      </c>
      <c r="D44" s="3" t="s">
        <v>10</v>
      </c>
      <c r="E44" s="3">
        <v>160</v>
      </c>
      <c r="F44" s="3">
        <v>3200</v>
      </c>
      <c r="G44" s="3">
        <v>13</v>
      </c>
      <c r="H44" s="3">
        <v>26</v>
      </c>
      <c r="I44" s="4" t="str">
        <f t="shared" si="0"/>
        <v>Jan</v>
      </c>
      <c r="J44" s="4">
        <v>512000</v>
      </c>
      <c r="K44" s="4">
        <v>512000</v>
      </c>
      <c r="L44" s="4">
        <f t="shared" si="1"/>
        <v>832</v>
      </c>
      <c r="M44" s="4">
        <f t="shared" si="2"/>
        <v>2784</v>
      </c>
      <c r="N44" s="4">
        <f t="shared" si="3"/>
        <v>723.84</v>
      </c>
    </row>
    <row r="45" spans="1:14" x14ac:dyDescent="0.3">
      <c r="A45" s="2">
        <v>45316</v>
      </c>
      <c r="B45" s="3" t="s">
        <v>8</v>
      </c>
      <c r="C45" s="3" t="s">
        <v>9</v>
      </c>
      <c r="D45" s="3" t="s">
        <v>18</v>
      </c>
      <c r="E45" s="3">
        <v>180</v>
      </c>
      <c r="F45" s="3">
        <v>3600</v>
      </c>
      <c r="G45" s="3">
        <v>15</v>
      </c>
      <c r="H45" s="3">
        <v>24</v>
      </c>
      <c r="I45" s="4" t="str">
        <f t="shared" si="0"/>
        <v>Jan</v>
      </c>
      <c r="J45" s="4">
        <v>648000</v>
      </c>
      <c r="K45" s="4">
        <v>648000</v>
      </c>
      <c r="L45" s="4">
        <f t="shared" si="1"/>
        <v>864</v>
      </c>
      <c r="M45" s="4">
        <f t="shared" si="2"/>
        <v>3060</v>
      </c>
      <c r="N45" s="4">
        <f t="shared" si="3"/>
        <v>734.4</v>
      </c>
    </row>
    <row r="46" spans="1:14" x14ac:dyDescent="0.3">
      <c r="A46" s="2">
        <v>45317</v>
      </c>
      <c r="B46" s="3" t="s">
        <v>11</v>
      </c>
      <c r="C46" s="3" t="s">
        <v>12</v>
      </c>
      <c r="D46" s="3" t="s">
        <v>10</v>
      </c>
      <c r="E46" s="3">
        <v>170</v>
      </c>
      <c r="F46" s="3">
        <v>3400</v>
      </c>
      <c r="G46" s="3">
        <v>8</v>
      </c>
      <c r="H46" s="3">
        <v>21</v>
      </c>
      <c r="I46" s="4" t="str">
        <f t="shared" si="0"/>
        <v>Jan</v>
      </c>
      <c r="J46" s="4">
        <v>578000</v>
      </c>
      <c r="K46" s="4">
        <v>578000</v>
      </c>
      <c r="L46" s="4">
        <f t="shared" si="1"/>
        <v>714</v>
      </c>
      <c r="M46" s="4">
        <f t="shared" si="2"/>
        <v>3128</v>
      </c>
      <c r="N46" s="4">
        <f t="shared" si="3"/>
        <v>656.88</v>
      </c>
    </row>
    <row r="47" spans="1:14" ht="15" customHeight="1" x14ac:dyDescent="0.3">
      <c r="A47" s="2">
        <v>45318</v>
      </c>
      <c r="B47" s="3" t="s">
        <v>14</v>
      </c>
      <c r="C47" s="3" t="s">
        <v>15</v>
      </c>
      <c r="D47" s="3" t="s">
        <v>18</v>
      </c>
      <c r="E47" s="3">
        <v>200</v>
      </c>
      <c r="F47" s="3">
        <v>4000</v>
      </c>
      <c r="G47" s="3">
        <v>12</v>
      </c>
      <c r="H47" s="3">
        <v>28</v>
      </c>
      <c r="I47" s="4" t="str">
        <f t="shared" si="0"/>
        <v>Jan</v>
      </c>
      <c r="J47" s="4">
        <v>800000</v>
      </c>
      <c r="K47" s="4">
        <v>800000</v>
      </c>
      <c r="L47" s="4">
        <f t="shared" si="1"/>
        <v>1120</v>
      </c>
      <c r="M47" s="4">
        <f t="shared" si="2"/>
        <v>3520</v>
      </c>
      <c r="N47" s="4">
        <f t="shared" si="3"/>
        <v>985.60000000000014</v>
      </c>
    </row>
    <row r="48" spans="1:14" ht="15" customHeight="1" x14ac:dyDescent="0.3">
      <c r="A48" s="2">
        <v>45319</v>
      </c>
      <c r="B48" s="3" t="s">
        <v>16</v>
      </c>
      <c r="C48" s="3" t="s">
        <v>17</v>
      </c>
      <c r="D48" s="3" t="s">
        <v>13</v>
      </c>
      <c r="E48" s="3">
        <v>150</v>
      </c>
      <c r="F48" s="3">
        <v>3000</v>
      </c>
      <c r="G48" s="3">
        <v>16</v>
      </c>
      <c r="H48" s="3">
        <v>25</v>
      </c>
      <c r="I48" s="4" t="str">
        <f t="shared" si="0"/>
        <v>Jan</v>
      </c>
      <c r="J48" s="4">
        <v>450000</v>
      </c>
      <c r="K48" s="4">
        <v>450000</v>
      </c>
      <c r="L48" s="4">
        <f t="shared" si="1"/>
        <v>750</v>
      </c>
      <c r="M48" s="4">
        <f t="shared" si="2"/>
        <v>2520</v>
      </c>
      <c r="N48" s="4">
        <f t="shared" si="3"/>
        <v>630</v>
      </c>
    </row>
    <row r="49" spans="1:14" x14ac:dyDescent="0.3">
      <c r="A49" s="2">
        <v>45320</v>
      </c>
      <c r="B49" s="3" t="s">
        <v>8</v>
      </c>
      <c r="C49" s="3" t="s">
        <v>9</v>
      </c>
      <c r="D49" s="3" t="s">
        <v>13</v>
      </c>
      <c r="E49" s="3">
        <v>110</v>
      </c>
      <c r="F49" s="3">
        <v>2200</v>
      </c>
      <c r="G49" s="3">
        <v>14</v>
      </c>
      <c r="H49" s="3">
        <v>20</v>
      </c>
      <c r="I49" s="4" t="str">
        <f t="shared" si="0"/>
        <v>Jan</v>
      </c>
      <c r="J49" s="4">
        <v>242000</v>
      </c>
      <c r="K49" s="4">
        <v>242000</v>
      </c>
      <c r="L49" s="4">
        <f t="shared" si="1"/>
        <v>440</v>
      </c>
      <c r="M49" s="4">
        <f t="shared" si="2"/>
        <v>1892</v>
      </c>
      <c r="N49" s="4">
        <f t="shared" si="3"/>
        <v>378.40000000000003</v>
      </c>
    </row>
    <row r="50" spans="1:14" x14ac:dyDescent="0.3">
      <c r="A50" s="2">
        <v>45321</v>
      </c>
      <c r="B50" s="3" t="s">
        <v>11</v>
      </c>
      <c r="C50" s="3" t="s">
        <v>12</v>
      </c>
      <c r="D50" s="3" t="s">
        <v>18</v>
      </c>
      <c r="E50" s="3">
        <v>180</v>
      </c>
      <c r="F50" s="3">
        <v>3600</v>
      </c>
      <c r="G50" s="3">
        <v>11</v>
      </c>
      <c r="H50" s="3">
        <v>23</v>
      </c>
      <c r="I50" s="4" t="str">
        <f t="shared" si="0"/>
        <v>Jan</v>
      </c>
      <c r="J50" s="4">
        <v>648000</v>
      </c>
      <c r="K50" s="4">
        <v>648000</v>
      </c>
      <c r="L50" s="4">
        <f t="shared" si="1"/>
        <v>828</v>
      </c>
      <c r="M50" s="4">
        <f t="shared" si="2"/>
        <v>3204</v>
      </c>
      <c r="N50" s="4">
        <f t="shared" si="3"/>
        <v>736.92000000000007</v>
      </c>
    </row>
    <row r="51" spans="1:14" x14ac:dyDescent="0.3">
      <c r="A51" s="2">
        <v>45323</v>
      </c>
      <c r="B51" s="3" t="s">
        <v>8</v>
      </c>
      <c r="C51" s="3" t="s">
        <v>9</v>
      </c>
      <c r="D51" s="3" t="s">
        <v>13</v>
      </c>
      <c r="E51" s="3">
        <v>160</v>
      </c>
      <c r="F51" s="3">
        <v>3200</v>
      </c>
      <c r="G51" s="3">
        <v>12</v>
      </c>
      <c r="H51" s="3">
        <v>22</v>
      </c>
      <c r="I51" s="4" t="str">
        <f t="shared" si="0"/>
        <v>Feb</v>
      </c>
      <c r="J51" s="4">
        <v>512000</v>
      </c>
      <c r="K51" s="4">
        <v>512000</v>
      </c>
      <c r="L51" s="4">
        <f t="shared" si="1"/>
        <v>704</v>
      </c>
      <c r="M51" s="4">
        <f t="shared" si="2"/>
        <v>2816</v>
      </c>
      <c r="N51" s="4">
        <f t="shared" si="3"/>
        <v>619.52</v>
      </c>
    </row>
    <row r="52" spans="1:14" x14ac:dyDescent="0.3">
      <c r="A52" s="2">
        <v>45324</v>
      </c>
      <c r="B52" s="3" t="s">
        <v>11</v>
      </c>
      <c r="C52" s="3" t="s">
        <v>12</v>
      </c>
      <c r="D52" s="3" t="s">
        <v>18</v>
      </c>
      <c r="E52" s="3">
        <v>140</v>
      </c>
      <c r="F52" s="3">
        <v>2800</v>
      </c>
      <c r="G52" s="3">
        <v>14</v>
      </c>
      <c r="H52" s="3">
        <v>25</v>
      </c>
      <c r="I52" s="4" t="str">
        <f t="shared" si="0"/>
        <v>Feb</v>
      </c>
      <c r="J52" s="4">
        <v>392000</v>
      </c>
      <c r="K52" s="4">
        <v>392000</v>
      </c>
      <c r="L52" s="4">
        <f t="shared" si="1"/>
        <v>700</v>
      </c>
      <c r="M52" s="4">
        <f t="shared" si="2"/>
        <v>2408</v>
      </c>
      <c r="N52" s="4">
        <f t="shared" si="3"/>
        <v>602</v>
      </c>
    </row>
    <row r="53" spans="1:14" x14ac:dyDescent="0.3">
      <c r="A53" s="2">
        <v>45325</v>
      </c>
      <c r="B53" s="3" t="s">
        <v>14</v>
      </c>
      <c r="C53" s="3" t="s">
        <v>15</v>
      </c>
      <c r="D53" s="3" t="s">
        <v>10</v>
      </c>
      <c r="E53" s="3">
        <v>110</v>
      </c>
      <c r="F53" s="3">
        <v>2200</v>
      </c>
      <c r="G53" s="3">
        <v>8</v>
      </c>
      <c r="H53" s="3">
        <v>20</v>
      </c>
      <c r="I53" s="4" t="str">
        <f t="shared" si="0"/>
        <v>Feb</v>
      </c>
      <c r="J53" s="4">
        <v>242000</v>
      </c>
      <c r="K53" s="4">
        <v>242000</v>
      </c>
      <c r="L53" s="4">
        <f t="shared" si="1"/>
        <v>440</v>
      </c>
      <c r="M53" s="4">
        <f t="shared" si="2"/>
        <v>2024</v>
      </c>
      <c r="N53" s="4">
        <f t="shared" si="3"/>
        <v>404.8</v>
      </c>
    </row>
    <row r="54" spans="1:14" x14ac:dyDescent="0.3">
      <c r="A54" s="2">
        <v>45326</v>
      </c>
      <c r="B54" s="3" t="s">
        <v>16</v>
      </c>
      <c r="C54" s="3" t="s">
        <v>17</v>
      </c>
      <c r="D54" s="3" t="s">
        <v>13</v>
      </c>
      <c r="E54" s="3">
        <v>230</v>
      </c>
      <c r="F54" s="3">
        <v>4600</v>
      </c>
      <c r="G54" s="3">
        <v>10</v>
      </c>
      <c r="H54" s="3">
        <v>28</v>
      </c>
      <c r="I54" s="4" t="str">
        <f t="shared" si="0"/>
        <v>Feb</v>
      </c>
      <c r="J54" s="4">
        <v>1058000</v>
      </c>
      <c r="K54" s="4">
        <v>1058000</v>
      </c>
      <c r="L54" s="4">
        <f t="shared" si="1"/>
        <v>1288.0000000000002</v>
      </c>
      <c r="M54" s="4">
        <f t="shared" si="2"/>
        <v>4140</v>
      </c>
      <c r="N54" s="4">
        <f t="shared" si="3"/>
        <v>1159.2</v>
      </c>
    </row>
    <row r="55" spans="1:14" x14ac:dyDescent="0.3">
      <c r="A55" s="2">
        <v>45327</v>
      </c>
      <c r="B55" s="3" t="s">
        <v>8</v>
      </c>
      <c r="C55" s="3" t="s">
        <v>9</v>
      </c>
      <c r="D55" s="3" t="s">
        <v>18</v>
      </c>
      <c r="E55" s="3">
        <v>190</v>
      </c>
      <c r="F55" s="3">
        <v>3800</v>
      </c>
      <c r="G55" s="3">
        <v>15</v>
      </c>
      <c r="H55" s="3">
        <v>24</v>
      </c>
      <c r="I55" s="4" t="str">
        <f t="shared" si="0"/>
        <v>Feb</v>
      </c>
      <c r="J55" s="4">
        <v>722000</v>
      </c>
      <c r="K55" s="4">
        <v>722000</v>
      </c>
      <c r="L55" s="4">
        <f t="shared" si="1"/>
        <v>912</v>
      </c>
      <c r="M55" s="4">
        <f t="shared" si="2"/>
        <v>3230</v>
      </c>
      <c r="N55" s="4">
        <f t="shared" si="3"/>
        <v>775.19999999999993</v>
      </c>
    </row>
    <row r="56" spans="1:14" x14ac:dyDescent="0.3">
      <c r="A56" s="2">
        <v>45328</v>
      </c>
      <c r="B56" s="3" t="s">
        <v>11</v>
      </c>
      <c r="C56" s="3" t="s">
        <v>12</v>
      </c>
      <c r="D56" s="3" t="s">
        <v>10</v>
      </c>
      <c r="E56" s="3">
        <v>140</v>
      </c>
      <c r="F56" s="3">
        <v>2800</v>
      </c>
      <c r="G56" s="3">
        <v>11</v>
      </c>
      <c r="H56" s="3">
        <v>21</v>
      </c>
      <c r="I56" s="4" t="str">
        <f t="shared" si="0"/>
        <v>Feb</v>
      </c>
      <c r="J56" s="4">
        <v>392000</v>
      </c>
      <c r="K56" s="4">
        <v>392000</v>
      </c>
      <c r="L56" s="4">
        <f t="shared" si="1"/>
        <v>588</v>
      </c>
      <c r="M56" s="4">
        <f t="shared" si="2"/>
        <v>2492</v>
      </c>
      <c r="N56" s="4">
        <f t="shared" si="3"/>
        <v>523.31999999999994</v>
      </c>
    </row>
    <row r="57" spans="1:14" x14ac:dyDescent="0.3">
      <c r="A57" s="2">
        <v>45329</v>
      </c>
      <c r="B57" s="3" t="s">
        <v>14</v>
      </c>
      <c r="C57" s="3" t="s">
        <v>15</v>
      </c>
      <c r="D57" s="3" t="s">
        <v>13</v>
      </c>
      <c r="E57" s="3">
        <v>160</v>
      </c>
      <c r="F57" s="3">
        <v>3200</v>
      </c>
      <c r="G57" s="3">
        <v>7</v>
      </c>
      <c r="H57" s="3">
        <v>22</v>
      </c>
      <c r="I57" s="4" t="str">
        <f t="shared" si="0"/>
        <v>Feb</v>
      </c>
      <c r="J57" s="4">
        <v>512000</v>
      </c>
      <c r="K57" s="4">
        <v>512000</v>
      </c>
      <c r="L57" s="4">
        <f t="shared" si="1"/>
        <v>704</v>
      </c>
      <c r="M57" s="4">
        <f t="shared" si="2"/>
        <v>2976</v>
      </c>
      <c r="N57" s="4">
        <f t="shared" si="3"/>
        <v>654.72</v>
      </c>
    </row>
    <row r="58" spans="1:14" x14ac:dyDescent="0.3">
      <c r="A58" s="2">
        <v>45330</v>
      </c>
      <c r="B58" s="3" t="s">
        <v>16</v>
      </c>
      <c r="C58" s="3" t="s">
        <v>17</v>
      </c>
      <c r="D58" s="3" t="s">
        <v>18</v>
      </c>
      <c r="E58" s="3">
        <v>220</v>
      </c>
      <c r="F58" s="3">
        <v>4400</v>
      </c>
      <c r="G58" s="3">
        <v>18</v>
      </c>
      <c r="H58" s="3">
        <v>30</v>
      </c>
      <c r="I58" s="4" t="str">
        <f t="shared" si="0"/>
        <v>Feb</v>
      </c>
      <c r="J58" s="4">
        <v>968000</v>
      </c>
      <c r="K58" s="4">
        <v>968000</v>
      </c>
      <c r="L58" s="4">
        <f t="shared" si="1"/>
        <v>1320</v>
      </c>
      <c r="M58" s="4">
        <f t="shared" si="2"/>
        <v>3608</v>
      </c>
      <c r="N58" s="4">
        <f t="shared" si="3"/>
        <v>1082.3999999999999</v>
      </c>
    </row>
    <row r="59" spans="1:14" x14ac:dyDescent="0.3">
      <c r="A59" s="2">
        <v>45331</v>
      </c>
      <c r="B59" s="3" t="s">
        <v>8</v>
      </c>
      <c r="C59" s="3" t="s">
        <v>9</v>
      </c>
      <c r="D59" s="3" t="s">
        <v>10</v>
      </c>
      <c r="E59" s="3">
        <v>140</v>
      </c>
      <c r="F59" s="3">
        <v>2800</v>
      </c>
      <c r="G59" s="3">
        <v>12</v>
      </c>
      <c r="H59" s="3">
        <v>23</v>
      </c>
      <c r="I59" s="4" t="str">
        <f t="shared" si="0"/>
        <v>Feb</v>
      </c>
      <c r="J59" s="4">
        <v>392000</v>
      </c>
      <c r="K59" s="4">
        <v>392000</v>
      </c>
      <c r="L59" s="4">
        <f t="shared" si="1"/>
        <v>644</v>
      </c>
      <c r="M59" s="4">
        <f t="shared" si="2"/>
        <v>2464</v>
      </c>
      <c r="N59" s="4">
        <f t="shared" si="3"/>
        <v>566.72</v>
      </c>
    </row>
    <row r="60" spans="1:14" ht="15.6" customHeight="1" x14ac:dyDescent="0.3">
      <c r="A60" s="21">
        <v>45332</v>
      </c>
      <c r="B60" s="22" t="s">
        <v>11</v>
      </c>
      <c r="C60" s="22" t="s">
        <v>12</v>
      </c>
      <c r="D60" s="22" t="s">
        <v>13</v>
      </c>
      <c r="E60" s="22">
        <v>120</v>
      </c>
      <c r="F60" s="22">
        <v>2400</v>
      </c>
      <c r="G60" s="22">
        <v>10</v>
      </c>
      <c r="H60" s="22">
        <v>21</v>
      </c>
      <c r="I60" s="4" t="str">
        <f t="shared" si="0"/>
        <v>Feb</v>
      </c>
      <c r="J60" s="4">
        <v>288000</v>
      </c>
      <c r="K60" s="4">
        <v>288000</v>
      </c>
      <c r="L60" s="4">
        <f t="shared" si="1"/>
        <v>504</v>
      </c>
      <c r="M60" s="4">
        <f t="shared" si="2"/>
        <v>2160</v>
      </c>
      <c r="N60" s="4">
        <f t="shared" si="3"/>
        <v>453.59999999999997</v>
      </c>
    </row>
    <row r="61" spans="1:14" x14ac:dyDescent="0.3">
      <c r="A61" s="2">
        <v>45333</v>
      </c>
      <c r="B61" s="3" t="s">
        <v>14</v>
      </c>
      <c r="C61" s="3" t="s">
        <v>15</v>
      </c>
      <c r="D61" s="3" t="s">
        <v>18</v>
      </c>
      <c r="E61" s="3">
        <v>170</v>
      </c>
      <c r="F61" s="3">
        <v>3400</v>
      </c>
      <c r="G61" s="3">
        <v>9</v>
      </c>
      <c r="H61" s="3">
        <v>19</v>
      </c>
      <c r="I61" s="4" t="str">
        <f t="shared" si="0"/>
        <v>Feb</v>
      </c>
      <c r="J61" s="4">
        <v>578000</v>
      </c>
      <c r="K61" s="4">
        <v>578000</v>
      </c>
      <c r="L61" s="4">
        <f t="shared" si="1"/>
        <v>646</v>
      </c>
      <c r="M61" s="4">
        <f t="shared" si="2"/>
        <v>3094</v>
      </c>
      <c r="N61" s="4">
        <f t="shared" si="3"/>
        <v>587.86</v>
      </c>
    </row>
    <row r="62" spans="1:14" x14ac:dyDescent="0.3">
      <c r="A62" s="2">
        <v>45334</v>
      </c>
      <c r="B62" s="3" t="s">
        <v>16</v>
      </c>
      <c r="C62" s="3" t="s">
        <v>17</v>
      </c>
      <c r="D62" s="3" t="s">
        <v>10</v>
      </c>
      <c r="E62" s="3">
        <v>200</v>
      </c>
      <c r="F62" s="3">
        <v>4000</v>
      </c>
      <c r="G62" s="3">
        <v>14</v>
      </c>
      <c r="H62" s="3">
        <v>26</v>
      </c>
      <c r="I62" s="4" t="str">
        <f t="shared" si="0"/>
        <v>Feb</v>
      </c>
      <c r="J62" s="4">
        <v>800000</v>
      </c>
      <c r="K62" s="4">
        <v>800000</v>
      </c>
      <c r="L62" s="4">
        <f t="shared" si="1"/>
        <v>1040</v>
      </c>
      <c r="M62" s="4">
        <f t="shared" si="2"/>
        <v>3440</v>
      </c>
      <c r="N62" s="4">
        <f t="shared" si="3"/>
        <v>894.4</v>
      </c>
    </row>
    <row r="63" spans="1:14" x14ac:dyDescent="0.3">
      <c r="A63" s="2">
        <v>45335</v>
      </c>
      <c r="B63" s="3" t="s">
        <v>8</v>
      </c>
      <c r="C63" s="3" t="s">
        <v>9</v>
      </c>
      <c r="D63" s="3" t="s">
        <v>13</v>
      </c>
      <c r="E63" s="3">
        <v>150</v>
      </c>
      <c r="F63" s="3">
        <v>3000</v>
      </c>
      <c r="G63" s="3">
        <v>11</v>
      </c>
      <c r="H63" s="3">
        <v>22</v>
      </c>
      <c r="I63" s="4" t="str">
        <f t="shared" si="0"/>
        <v>Feb</v>
      </c>
      <c r="J63" s="4">
        <v>450000</v>
      </c>
      <c r="K63" s="4">
        <v>450000</v>
      </c>
      <c r="L63" s="4">
        <f t="shared" si="1"/>
        <v>660</v>
      </c>
      <c r="M63" s="4">
        <f t="shared" si="2"/>
        <v>2670</v>
      </c>
      <c r="N63" s="4">
        <f t="shared" si="3"/>
        <v>587.4</v>
      </c>
    </row>
    <row r="64" spans="1:14" x14ac:dyDescent="0.3">
      <c r="A64" s="2">
        <v>45336</v>
      </c>
      <c r="B64" s="3" t="s">
        <v>11</v>
      </c>
      <c r="C64" s="3" t="s">
        <v>12</v>
      </c>
      <c r="D64" s="3" t="s">
        <v>18</v>
      </c>
      <c r="E64" s="3">
        <v>180</v>
      </c>
      <c r="F64" s="3">
        <v>3600</v>
      </c>
      <c r="G64" s="3">
        <v>16</v>
      </c>
      <c r="H64" s="3">
        <v>28</v>
      </c>
      <c r="I64" s="4" t="str">
        <f t="shared" si="0"/>
        <v>Feb</v>
      </c>
      <c r="J64" s="4">
        <v>648000</v>
      </c>
      <c r="K64" s="4">
        <v>648000</v>
      </c>
      <c r="L64" s="4">
        <f t="shared" si="1"/>
        <v>1008.0000000000001</v>
      </c>
      <c r="M64" s="4">
        <f t="shared" si="2"/>
        <v>3024</v>
      </c>
      <c r="N64" s="4">
        <f t="shared" si="3"/>
        <v>846.72</v>
      </c>
    </row>
    <row r="65" spans="1:14" x14ac:dyDescent="0.3">
      <c r="A65" s="2">
        <v>45337</v>
      </c>
      <c r="B65" s="3" t="s">
        <v>14</v>
      </c>
      <c r="C65" s="3" t="s">
        <v>15</v>
      </c>
      <c r="D65" s="3" t="s">
        <v>10</v>
      </c>
      <c r="E65" s="3">
        <v>130</v>
      </c>
      <c r="F65" s="3">
        <v>2600</v>
      </c>
      <c r="G65" s="3">
        <v>6</v>
      </c>
      <c r="H65" s="3">
        <v>20</v>
      </c>
      <c r="I65" s="4" t="str">
        <f t="shared" si="0"/>
        <v>Feb</v>
      </c>
      <c r="J65" s="4">
        <v>338000</v>
      </c>
      <c r="K65" s="4">
        <v>338000</v>
      </c>
      <c r="L65" s="4">
        <f t="shared" si="1"/>
        <v>520</v>
      </c>
      <c r="M65" s="4">
        <f t="shared" si="2"/>
        <v>2444</v>
      </c>
      <c r="N65" s="4">
        <f t="shared" si="3"/>
        <v>488.8</v>
      </c>
    </row>
    <row r="66" spans="1:14" x14ac:dyDescent="0.3">
      <c r="A66" s="2">
        <v>45338</v>
      </c>
      <c r="B66" s="3" t="s">
        <v>16</v>
      </c>
      <c r="C66" s="3" t="s">
        <v>17</v>
      </c>
      <c r="D66" s="3" t="s">
        <v>13</v>
      </c>
      <c r="E66" s="3">
        <v>190</v>
      </c>
      <c r="F66" s="3">
        <v>3800</v>
      </c>
      <c r="G66" s="3">
        <v>12</v>
      </c>
      <c r="H66" s="3">
        <v>27</v>
      </c>
      <c r="I66" s="4" t="str">
        <f t="shared" si="0"/>
        <v>Feb</v>
      </c>
      <c r="J66" s="4">
        <v>722000</v>
      </c>
      <c r="K66" s="4">
        <v>722000</v>
      </c>
      <c r="L66" s="4">
        <f t="shared" si="1"/>
        <v>1026</v>
      </c>
      <c r="M66" s="4">
        <f t="shared" si="2"/>
        <v>3344</v>
      </c>
      <c r="N66" s="4">
        <f t="shared" si="3"/>
        <v>902.88000000000011</v>
      </c>
    </row>
    <row r="67" spans="1:14" x14ac:dyDescent="0.3">
      <c r="A67" s="2">
        <v>45339</v>
      </c>
      <c r="B67" s="3" t="s">
        <v>8</v>
      </c>
      <c r="C67" s="3" t="s">
        <v>9</v>
      </c>
      <c r="D67" s="3" t="s">
        <v>18</v>
      </c>
      <c r="E67" s="3">
        <v>210</v>
      </c>
      <c r="F67" s="3">
        <v>4200</v>
      </c>
      <c r="G67" s="3">
        <v>17</v>
      </c>
      <c r="H67" s="3">
        <v>25</v>
      </c>
      <c r="I67" s="4" t="str">
        <f t="shared" si="0"/>
        <v>Feb</v>
      </c>
      <c r="J67" s="4">
        <v>882000</v>
      </c>
      <c r="K67" s="4">
        <v>882000</v>
      </c>
      <c r="L67" s="4">
        <f t="shared" si="1"/>
        <v>1050</v>
      </c>
      <c r="M67" s="4">
        <f t="shared" si="2"/>
        <v>3486</v>
      </c>
      <c r="N67" s="4">
        <f t="shared" si="3"/>
        <v>871.5</v>
      </c>
    </row>
    <row r="68" spans="1:14" x14ac:dyDescent="0.3">
      <c r="A68" s="2">
        <v>45340</v>
      </c>
      <c r="B68" s="3" t="s">
        <v>11</v>
      </c>
      <c r="C68" s="3" t="s">
        <v>12</v>
      </c>
      <c r="D68" s="3" t="s">
        <v>10</v>
      </c>
      <c r="E68" s="3">
        <v>160</v>
      </c>
      <c r="F68" s="3">
        <v>3200</v>
      </c>
      <c r="G68" s="3">
        <v>8</v>
      </c>
      <c r="H68" s="3">
        <v>22</v>
      </c>
      <c r="I68" s="4" t="str">
        <f t="shared" si="0"/>
        <v>Feb</v>
      </c>
      <c r="J68" s="4">
        <v>512000</v>
      </c>
      <c r="K68" s="4">
        <v>512000</v>
      </c>
      <c r="L68" s="4">
        <f t="shared" si="1"/>
        <v>704</v>
      </c>
      <c r="M68" s="4">
        <f t="shared" si="2"/>
        <v>2944</v>
      </c>
      <c r="N68" s="4">
        <f t="shared" si="3"/>
        <v>647.67999999999995</v>
      </c>
    </row>
    <row r="69" spans="1:14" x14ac:dyDescent="0.3">
      <c r="A69" s="2">
        <v>45341</v>
      </c>
      <c r="B69" s="3" t="s">
        <v>14</v>
      </c>
      <c r="C69" s="3" t="s">
        <v>15</v>
      </c>
      <c r="D69" s="3" t="s">
        <v>13</v>
      </c>
      <c r="E69" s="3">
        <v>180</v>
      </c>
      <c r="F69" s="3">
        <v>3600</v>
      </c>
      <c r="G69" s="3">
        <v>9</v>
      </c>
      <c r="H69" s="3">
        <v>23</v>
      </c>
      <c r="I69" s="4" t="str">
        <f t="shared" si="0"/>
        <v>Feb</v>
      </c>
      <c r="J69" s="4">
        <v>648000</v>
      </c>
      <c r="K69" s="4">
        <v>648000</v>
      </c>
      <c r="L69" s="4">
        <f t="shared" si="1"/>
        <v>828</v>
      </c>
      <c r="M69" s="4">
        <f t="shared" si="2"/>
        <v>3276</v>
      </c>
      <c r="N69" s="4">
        <f t="shared" si="3"/>
        <v>753.48</v>
      </c>
    </row>
    <row r="70" spans="1:14" x14ac:dyDescent="0.3">
      <c r="A70" s="2">
        <v>45342</v>
      </c>
      <c r="B70" s="3" t="s">
        <v>16</v>
      </c>
      <c r="C70" s="3" t="s">
        <v>17</v>
      </c>
      <c r="D70" s="3" t="s">
        <v>18</v>
      </c>
      <c r="E70" s="3">
        <v>170</v>
      </c>
      <c r="F70" s="3">
        <v>3400</v>
      </c>
      <c r="G70" s="3">
        <v>14</v>
      </c>
      <c r="H70" s="3">
        <v>26</v>
      </c>
      <c r="I70" s="4" t="str">
        <f t="shared" si="0"/>
        <v>Feb</v>
      </c>
      <c r="J70" s="4">
        <v>578000</v>
      </c>
      <c r="K70" s="4">
        <v>578000</v>
      </c>
      <c r="L70" s="4">
        <f t="shared" si="1"/>
        <v>884</v>
      </c>
      <c r="M70" s="4">
        <f t="shared" si="2"/>
        <v>2924</v>
      </c>
      <c r="N70" s="4">
        <f t="shared" si="3"/>
        <v>760.24</v>
      </c>
    </row>
    <row r="71" spans="1:14" x14ac:dyDescent="0.3">
      <c r="A71" s="2">
        <v>45343</v>
      </c>
      <c r="B71" s="3" t="s">
        <v>8</v>
      </c>
      <c r="C71" s="3" t="s">
        <v>9</v>
      </c>
      <c r="D71" s="3" t="s">
        <v>10</v>
      </c>
      <c r="E71" s="3">
        <v>150</v>
      </c>
      <c r="F71" s="3">
        <v>3000</v>
      </c>
      <c r="G71" s="3">
        <v>13</v>
      </c>
      <c r="H71" s="3">
        <v>24</v>
      </c>
      <c r="I71" s="4" t="str">
        <f t="shared" si="0"/>
        <v>Feb</v>
      </c>
      <c r="J71" s="4">
        <v>450000</v>
      </c>
      <c r="K71" s="4">
        <v>450000</v>
      </c>
      <c r="L71" s="4">
        <f t="shared" si="1"/>
        <v>720</v>
      </c>
      <c r="M71" s="4">
        <f t="shared" si="2"/>
        <v>2610</v>
      </c>
      <c r="N71" s="4">
        <f t="shared" si="3"/>
        <v>626.4</v>
      </c>
    </row>
    <row r="72" spans="1:14" x14ac:dyDescent="0.3">
      <c r="A72" s="2">
        <v>45344</v>
      </c>
      <c r="B72" s="3" t="s">
        <v>11</v>
      </c>
      <c r="C72" s="3" t="s">
        <v>12</v>
      </c>
      <c r="D72" s="3" t="s">
        <v>13</v>
      </c>
      <c r="E72" s="3">
        <v>140</v>
      </c>
      <c r="F72" s="3">
        <v>2800</v>
      </c>
      <c r="G72" s="3">
        <v>12</v>
      </c>
      <c r="H72" s="3">
        <v>23</v>
      </c>
      <c r="I72" s="4" t="str">
        <f t="shared" si="0"/>
        <v>Feb</v>
      </c>
      <c r="J72" s="4">
        <v>392000</v>
      </c>
      <c r="K72" s="4">
        <v>392000</v>
      </c>
      <c r="L72" s="4">
        <f t="shared" si="1"/>
        <v>644</v>
      </c>
      <c r="M72" s="4">
        <f t="shared" si="2"/>
        <v>2464</v>
      </c>
      <c r="N72" s="4">
        <f t="shared" si="3"/>
        <v>566.72</v>
      </c>
    </row>
    <row r="73" spans="1:14" x14ac:dyDescent="0.3">
      <c r="A73" s="2">
        <v>45345</v>
      </c>
      <c r="B73" s="3" t="s">
        <v>14</v>
      </c>
      <c r="C73" s="3" t="s">
        <v>15</v>
      </c>
      <c r="D73" s="3" t="s">
        <v>18</v>
      </c>
      <c r="E73" s="3">
        <v>200</v>
      </c>
      <c r="F73" s="3">
        <v>4000</v>
      </c>
      <c r="G73" s="3">
        <v>10</v>
      </c>
      <c r="H73" s="3">
        <v>27</v>
      </c>
      <c r="I73" s="4" t="str">
        <f t="shared" si="0"/>
        <v>Feb</v>
      </c>
      <c r="J73" s="4">
        <v>800000</v>
      </c>
      <c r="K73" s="4">
        <v>800000</v>
      </c>
      <c r="L73" s="4">
        <f t="shared" si="1"/>
        <v>1080</v>
      </c>
      <c r="M73" s="4">
        <f t="shared" si="2"/>
        <v>3600</v>
      </c>
      <c r="N73" s="4">
        <f t="shared" si="3"/>
        <v>972.00000000000011</v>
      </c>
    </row>
    <row r="74" spans="1:14" x14ac:dyDescent="0.3">
      <c r="A74" s="2">
        <v>45346</v>
      </c>
      <c r="B74" s="3" t="s">
        <v>16</v>
      </c>
      <c r="C74" s="3" t="s">
        <v>17</v>
      </c>
      <c r="D74" s="3" t="s">
        <v>10</v>
      </c>
      <c r="E74" s="3">
        <v>170</v>
      </c>
      <c r="F74" s="3">
        <v>3400</v>
      </c>
      <c r="G74" s="3">
        <v>15</v>
      </c>
      <c r="H74" s="3">
        <v>28</v>
      </c>
      <c r="I74" s="4" t="str">
        <f t="shared" si="0"/>
        <v>Feb</v>
      </c>
      <c r="J74" s="4">
        <v>578000</v>
      </c>
      <c r="K74" s="4">
        <v>578000</v>
      </c>
      <c r="L74" s="4">
        <f t="shared" si="1"/>
        <v>952.00000000000011</v>
      </c>
      <c r="M74" s="4">
        <f t="shared" si="2"/>
        <v>2890</v>
      </c>
      <c r="N74" s="4">
        <f t="shared" si="3"/>
        <v>809.2</v>
      </c>
    </row>
    <row r="75" spans="1:14" x14ac:dyDescent="0.3">
      <c r="A75" s="2">
        <v>45347</v>
      </c>
      <c r="B75" s="3" t="s">
        <v>8</v>
      </c>
      <c r="C75" s="3" t="s">
        <v>9</v>
      </c>
      <c r="D75" s="3" t="s">
        <v>13</v>
      </c>
      <c r="E75" s="3">
        <v>120</v>
      </c>
      <c r="F75" s="3">
        <v>2400</v>
      </c>
      <c r="G75" s="3">
        <v>14</v>
      </c>
      <c r="H75" s="3">
        <v>22</v>
      </c>
      <c r="I75" s="4" t="str">
        <f t="shared" si="0"/>
        <v>Feb</v>
      </c>
      <c r="J75" s="4">
        <v>288000</v>
      </c>
      <c r="K75" s="4">
        <v>288000</v>
      </c>
      <c r="L75" s="4">
        <f t="shared" si="1"/>
        <v>528</v>
      </c>
      <c r="M75" s="4">
        <f t="shared" si="2"/>
        <v>2064</v>
      </c>
      <c r="N75" s="4">
        <f t="shared" si="3"/>
        <v>454.08</v>
      </c>
    </row>
    <row r="76" spans="1:14" x14ac:dyDescent="0.3">
      <c r="A76" s="2">
        <v>45348</v>
      </c>
      <c r="B76" s="3" t="s">
        <v>11</v>
      </c>
      <c r="C76" s="3" t="s">
        <v>12</v>
      </c>
      <c r="D76" s="3" t="s">
        <v>18</v>
      </c>
      <c r="E76" s="3">
        <v>190</v>
      </c>
      <c r="F76" s="3">
        <v>3800</v>
      </c>
      <c r="G76" s="3">
        <v>11</v>
      </c>
      <c r="H76" s="3">
        <v>20</v>
      </c>
      <c r="I76" s="4" t="str">
        <f t="shared" si="0"/>
        <v>Feb</v>
      </c>
      <c r="J76" s="4">
        <v>722000</v>
      </c>
      <c r="K76" s="4">
        <v>722000</v>
      </c>
      <c r="L76" s="4">
        <f t="shared" si="1"/>
        <v>760</v>
      </c>
      <c r="M76" s="4">
        <f t="shared" si="2"/>
        <v>3382</v>
      </c>
      <c r="N76" s="4">
        <f t="shared" si="3"/>
        <v>676.40000000000009</v>
      </c>
    </row>
    <row r="77" spans="1:14" x14ac:dyDescent="0.3">
      <c r="A77" s="2">
        <v>45349</v>
      </c>
      <c r="B77" s="3" t="s">
        <v>14</v>
      </c>
      <c r="C77" s="3" t="s">
        <v>15</v>
      </c>
      <c r="D77" s="3" t="s">
        <v>10</v>
      </c>
      <c r="E77" s="3">
        <v>140</v>
      </c>
      <c r="F77" s="3">
        <v>2800</v>
      </c>
      <c r="G77" s="3">
        <v>7</v>
      </c>
      <c r="H77" s="3">
        <v>21</v>
      </c>
      <c r="I77" s="4" t="str">
        <f t="shared" si="0"/>
        <v>Feb</v>
      </c>
      <c r="J77" s="4">
        <v>392000</v>
      </c>
      <c r="K77" s="4">
        <v>392000</v>
      </c>
      <c r="L77" s="4">
        <f t="shared" si="1"/>
        <v>588</v>
      </c>
      <c r="M77" s="4">
        <f t="shared" si="2"/>
        <v>2604</v>
      </c>
      <c r="N77" s="4">
        <f t="shared" si="3"/>
        <v>546.84</v>
      </c>
    </row>
    <row r="78" spans="1:14" x14ac:dyDescent="0.3">
      <c r="A78" s="2">
        <v>45350</v>
      </c>
      <c r="B78" s="3" t="s">
        <v>16</v>
      </c>
      <c r="C78" s="3" t="s">
        <v>17</v>
      </c>
      <c r="D78" s="3" t="s">
        <v>13</v>
      </c>
      <c r="E78" s="3">
        <v>200</v>
      </c>
      <c r="F78" s="3">
        <v>4000</v>
      </c>
      <c r="G78" s="3">
        <v>16</v>
      </c>
      <c r="H78" s="3">
        <v>29</v>
      </c>
      <c r="I78" s="4" t="str">
        <f t="shared" si="0"/>
        <v>Feb</v>
      </c>
      <c r="J78" s="4">
        <v>800000</v>
      </c>
      <c r="K78" s="4">
        <v>800000</v>
      </c>
      <c r="L78" s="4">
        <f t="shared" si="1"/>
        <v>1160</v>
      </c>
      <c r="M78" s="4">
        <f t="shared" si="2"/>
        <v>3360</v>
      </c>
      <c r="N78" s="4">
        <f t="shared" si="3"/>
        <v>974.4</v>
      </c>
    </row>
    <row r="79" spans="1:14" x14ac:dyDescent="0.3">
      <c r="A79" s="2">
        <v>45351</v>
      </c>
      <c r="B79" s="3" t="s">
        <v>8</v>
      </c>
      <c r="C79" s="3" t="s">
        <v>9</v>
      </c>
      <c r="D79" s="3" t="s">
        <v>18</v>
      </c>
      <c r="E79" s="3">
        <v>160</v>
      </c>
      <c r="F79" s="3">
        <v>3200</v>
      </c>
      <c r="G79" s="3">
        <v>13</v>
      </c>
      <c r="H79" s="3">
        <v>23</v>
      </c>
      <c r="I79" s="4" t="str">
        <f t="shared" si="0"/>
        <v>Feb</v>
      </c>
      <c r="J79" s="4">
        <v>512000</v>
      </c>
      <c r="K79" s="4">
        <v>512000</v>
      </c>
      <c r="L79" s="4">
        <f t="shared" si="1"/>
        <v>736</v>
      </c>
      <c r="M79" s="4">
        <f t="shared" si="2"/>
        <v>2784</v>
      </c>
      <c r="N79" s="4">
        <f t="shared" si="3"/>
        <v>640.32000000000005</v>
      </c>
    </row>
    <row r="80" spans="1:14" x14ac:dyDescent="0.3">
      <c r="A80" s="2">
        <v>45352</v>
      </c>
      <c r="B80" s="3" t="s">
        <v>11</v>
      </c>
      <c r="C80" s="3" t="s">
        <v>12</v>
      </c>
      <c r="D80" s="3" t="s">
        <v>10</v>
      </c>
      <c r="E80" s="3">
        <v>180</v>
      </c>
      <c r="F80" s="3">
        <v>3600</v>
      </c>
      <c r="G80" s="3">
        <v>10</v>
      </c>
      <c r="H80" s="3">
        <v>24</v>
      </c>
      <c r="I80" s="4" t="str">
        <f t="shared" si="0"/>
        <v>Mar</v>
      </c>
      <c r="J80" s="4">
        <v>648000</v>
      </c>
      <c r="K80" s="4">
        <v>648000</v>
      </c>
      <c r="L80" s="4">
        <f t="shared" si="1"/>
        <v>864</v>
      </c>
      <c r="M80" s="4">
        <f t="shared" si="2"/>
        <v>3240</v>
      </c>
      <c r="N80" s="4">
        <f t="shared" si="3"/>
        <v>777.6</v>
      </c>
    </row>
    <row r="81" spans="1:14" x14ac:dyDescent="0.3">
      <c r="A81" s="2">
        <v>45353</v>
      </c>
      <c r="B81" s="3" t="s">
        <v>14</v>
      </c>
      <c r="C81" s="3" t="s">
        <v>15</v>
      </c>
      <c r="D81" s="3" t="s">
        <v>13</v>
      </c>
      <c r="E81" s="3">
        <v>220</v>
      </c>
      <c r="F81" s="3">
        <v>4400</v>
      </c>
      <c r="G81" s="3">
        <v>9</v>
      </c>
      <c r="H81" s="3">
        <v>25</v>
      </c>
      <c r="I81" s="4" t="str">
        <f t="shared" si="0"/>
        <v>Mar</v>
      </c>
      <c r="J81" s="4">
        <v>968000</v>
      </c>
      <c r="K81" s="4">
        <v>968000</v>
      </c>
      <c r="L81" s="4">
        <f t="shared" si="1"/>
        <v>1100</v>
      </c>
      <c r="M81" s="4">
        <f t="shared" si="2"/>
        <v>4004</v>
      </c>
      <c r="N81" s="4">
        <f t="shared" si="3"/>
        <v>1001</v>
      </c>
    </row>
    <row r="82" spans="1:14" x14ac:dyDescent="0.3">
      <c r="A82" s="2">
        <v>45354</v>
      </c>
      <c r="B82" s="3" t="s">
        <v>16</v>
      </c>
      <c r="C82" s="3" t="s">
        <v>17</v>
      </c>
      <c r="D82" s="3" t="s">
        <v>18</v>
      </c>
      <c r="E82" s="3">
        <v>230</v>
      </c>
      <c r="F82" s="3">
        <v>4600</v>
      </c>
      <c r="G82" s="3">
        <v>17</v>
      </c>
      <c r="H82" s="3">
        <v>30</v>
      </c>
      <c r="I82" s="4" t="str">
        <f t="shared" si="0"/>
        <v>Mar</v>
      </c>
      <c r="J82" s="4">
        <v>1058000</v>
      </c>
      <c r="K82" s="4">
        <v>1058000</v>
      </c>
      <c r="L82" s="4">
        <f t="shared" si="1"/>
        <v>1380</v>
      </c>
      <c r="M82" s="4">
        <f t="shared" si="2"/>
        <v>3818</v>
      </c>
      <c r="N82" s="4">
        <f t="shared" si="3"/>
        <v>1145.3999999999999</v>
      </c>
    </row>
    <row r="83" spans="1:14" x14ac:dyDescent="0.3">
      <c r="A83" s="2">
        <v>45355</v>
      </c>
      <c r="B83" s="3" t="s">
        <v>8</v>
      </c>
      <c r="C83" s="3" t="s">
        <v>9</v>
      </c>
      <c r="D83" s="3" t="s">
        <v>10</v>
      </c>
      <c r="E83" s="3">
        <v>110</v>
      </c>
      <c r="F83" s="3">
        <v>2200</v>
      </c>
      <c r="G83" s="3">
        <v>11</v>
      </c>
      <c r="H83" s="3">
        <v>21</v>
      </c>
      <c r="I83" s="4" t="str">
        <f t="shared" si="0"/>
        <v>Mar</v>
      </c>
      <c r="J83" s="4">
        <v>242000</v>
      </c>
      <c r="K83" s="4">
        <v>242000</v>
      </c>
      <c r="L83" s="4">
        <f t="shared" si="1"/>
        <v>462</v>
      </c>
      <c r="M83" s="4">
        <f t="shared" si="2"/>
        <v>1958</v>
      </c>
      <c r="N83" s="4">
        <f t="shared" si="3"/>
        <v>411.18</v>
      </c>
    </row>
    <row r="84" spans="1:14" x14ac:dyDescent="0.3">
      <c r="A84" s="2">
        <v>45356</v>
      </c>
      <c r="B84" s="3" t="s">
        <v>11</v>
      </c>
      <c r="C84" s="3" t="s">
        <v>12</v>
      </c>
      <c r="D84" s="3" t="s">
        <v>13</v>
      </c>
      <c r="E84" s="3">
        <v>130</v>
      </c>
      <c r="F84" s="3">
        <v>2600</v>
      </c>
      <c r="G84" s="3">
        <v>8</v>
      </c>
      <c r="H84" s="3">
        <v>22</v>
      </c>
      <c r="I84" s="4" t="str">
        <f t="shared" si="0"/>
        <v>Mar</v>
      </c>
      <c r="J84" s="4">
        <v>338000</v>
      </c>
      <c r="K84" s="4">
        <v>338000</v>
      </c>
      <c r="L84" s="4">
        <f t="shared" si="1"/>
        <v>572</v>
      </c>
      <c r="M84" s="4">
        <f t="shared" si="2"/>
        <v>2392</v>
      </c>
      <c r="N84" s="4">
        <f t="shared" si="3"/>
        <v>526.24</v>
      </c>
    </row>
    <row r="85" spans="1:14" x14ac:dyDescent="0.3">
      <c r="A85" s="2">
        <v>45357</v>
      </c>
      <c r="B85" s="3" t="s">
        <v>14</v>
      </c>
      <c r="C85" s="3" t="s">
        <v>15</v>
      </c>
      <c r="D85" s="3" t="s">
        <v>18</v>
      </c>
      <c r="E85" s="3">
        <v>150</v>
      </c>
      <c r="F85" s="3">
        <v>3000</v>
      </c>
      <c r="G85" s="3">
        <v>12</v>
      </c>
      <c r="H85" s="3">
        <v>26</v>
      </c>
      <c r="I85" s="4" t="str">
        <f t="shared" si="0"/>
        <v>Mar</v>
      </c>
      <c r="J85" s="4">
        <v>450000</v>
      </c>
      <c r="K85" s="4">
        <v>450000</v>
      </c>
      <c r="L85" s="4">
        <f t="shared" si="1"/>
        <v>780</v>
      </c>
      <c r="M85" s="4">
        <f t="shared" si="2"/>
        <v>2640</v>
      </c>
      <c r="N85" s="4">
        <f t="shared" si="3"/>
        <v>686.4</v>
      </c>
    </row>
    <row r="86" spans="1:14" x14ac:dyDescent="0.3">
      <c r="A86" s="2">
        <v>45358</v>
      </c>
      <c r="B86" s="3" t="s">
        <v>16</v>
      </c>
      <c r="C86" s="3" t="s">
        <v>17</v>
      </c>
      <c r="D86" s="3" t="s">
        <v>10</v>
      </c>
      <c r="E86" s="3">
        <v>140</v>
      </c>
      <c r="F86" s="3">
        <v>2800</v>
      </c>
      <c r="G86" s="3">
        <v>13</v>
      </c>
      <c r="H86" s="3">
        <v>23</v>
      </c>
      <c r="I86" s="4" t="str">
        <f t="shared" ref="I86:I110" si="4">TEXT(A86,"mmm")</f>
        <v>Mar</v>
      </c>
      <c r="J86" s="4">
        <v>392000</v>
      </c>
      <c r="K86" s="4">
        <v>392000</v>
      </c>
      <c r="L86" s="4">
        <f t="shared" ref="L86:L110" si="5">F86*(H86/100)</f>
        <v>644</v>
      </c>
      <c r="M86" s="4">
        <f t="shared" ref="M86:M110" si="6">F86-(F86*G86/100)</f>
        <v>2436</v>
      </c>
      <c r="N86" s="4">
        <f t="shared" ref="N86:N110" si="7">M86*(H86/100)</f>
        <v>560.28</v>
      </c>
    </row>
    <row r="87" spans="1:14" x14ac:dyDescent="0.3">
      <c r="A87" s="2">
        <v>45359</v>
      </c>
      <c r="B87" s="3" t="s">
        <v>8</v>
      </c>
      <c r="C87" s="3" t="s">
        <v>9</v>
      </c>
      <c r="D87" s="3" t="s">
        <v>13</v>
      </c>
      <c r="E87" s="3">
        <v>170</v>
      </c>
      <c r="F87" s="3">
        <v>3400</v>
      </c>
      <c r="G87" s="3">
        <v>14</v>
      </c>
      <c r="H87" s="3">
        <v>24</v>
      </c>
      <c r="I87" s="4" t="str">
        <f t="shared" si="4"/>
        <v>Mar</v>
      </c>
      <c r="J87" s="4">
        <v>578000</v>
      </c>
      <c r="K87" s="4">
        <v>578000</v>
      </c>
      <c r="L87" s="4">
        <f t="shared" si="5"/>
        <v>816</v>
      </c>
      <c r="M87" s="4">
        <f t="shared" si="6"/>
        <v>2924</v>
      </c>
      <c r="N87" s="4">
        <f t="shared" si="7"/>
        <v>701.76</v>
      </c>
    </row>
    <row r="88" spans="1:14" x14ac:dyDescent="0.3">
      <c r="A88" s="2">
        <v>45360</v>
      </c>
      <c r="B88" s="3" t="s">
        <v>11</v>
      </c>
      <c r="C88" s="3" t="s">
        <v>12</v>
      </c>
      <c r="D88" s="3" t="s">
        <v>18</v>
      </c>
      <c r="E88" s="3">
        <v>160</v>
      </c>
      <c r="F88" s="3">
        <v>3200</v>
      </c>
      <c r="G88" s="3">
        <v>16</v>
      </c>
      <c r="H88" s="3">
        <v>27</v>
      </c>
      <c r="I88" s="4" t="str">
        <f t="shared" si="4"/>
        <v>Mar</v>
      </c>
      <c r="J88" s="4">
        <v>512000</v>
      </c>
      <c r="K88" s="4">
        <v>512000</v>
      </c>
      <c r="L88" s="4">
        <f t="shared" si="5"/>
        <v>864</v>
      </c>
      <c r="M88" s="4">
        <f t="shared" si="6"/>
        <v>2688</v>
      </c>
      <c r="N88" s="4">
        <f t="shared" si="7"/>
        <v>725.76</v>
      </c>
    </row>
    <row r="89" spans="1:14" x14ac:dyDescent="0.3">
      <c r="A89" s="2">
        <v>45361</v>
      </c>
      <c r="B89" s="3" t="s">
        <v>14</v>
      </c>
      <c r="C89" s="3" t="s">
        <v>15</v>
      </c>
      <c r="D89" s="3" t="s">
        <v>10</v>
      </c>
      <c r="E89" s="3">
        <v>180</v>
      </c>
      <c r="F89" s="3">
        <v>3600</v>
      </c>
      <c r="G89" s="3">
        <v>10</v>
      </c>
      <c r="H89" s="3">
        <v>22</v>
      </c>
      <c r="I89" s="4" t="str">
        <f t="shared" si="4"/>
        <v>Mar</v>
      </c>
      <c r="J89" s="4">
        <v>648000</v>
      </c>
      <c r="K89" s="4">
        <v>648000</v>
      </c>
      <c r="L89" s="4">
        <f t="shared" si="5"/>
        <v>792</v>
      </c>
      <c r="M89" s="4">
        <f t="shared" si="6"/>
        <v>3240</v>
      </c>
      <c r="N89" s="4">
        <f t="shared" si="7"/>
        <v>712.8</v>
      </c>
    </row>
    <row r="90" spans="1:14" x14ac:dyDescent="0.3">
      <c r="A90" s="2">
        <v>45362</v>
      </c>
      <c r="B90" s="3" t="s">
        <v>16</v>
      </c>
      <c r="C90" s="3" t="s">
        <v>17</v>
      </c>
      <c r="D90" s="3" t="s">
        <v>13</v>
      </c>
      <c r="E90" s="3">
        <v>150</v>
      </c>
      <c r="F90" s="3">
        <v>3000</v>
      </c>
      <c r="G90" s="3">
        <v>15</v>
      </c>
      <c r="H90" s="3">
        <v>29</v>
      </c>
      <c r="I90" s="4" t="str">
        <f t="shared" si="4"/>
        <v>Mar</v>
      </c>
      <c r="J90" s="4">
        <v>450000</v>
      </c>
      <c r="K90" s="4">
        <v>450000</v>
      </c>
      <c r="L90" s="4">
        <f t="shared" si="5"/>
        <v>869.99999999999989</v>
      </c>
      <c r="M90" s="4">
        <f t="shared" si="6"/>
        <v>2550</v>
      </c>
      <c r="N90" s="4">
        <f t="shared" si="7"/>
        <v>739.5</v>
      </c>
    </row>
    <row r="91" spans="1:14" x14ac:dyDescent="0.3">
      <c r="A91" s="2">
        <v>45363</v>
      </c>
      <c r="B91" s="3" t="s">
        <v>8</v>
      </c>
      <c r="C91" s="3" t="s">
        <v>9</v>
      </c>
      <c r="D91" s="3" t="s">
        <v>18</v>
      </c>
      <c r="E91" s="3">
        <v>200</v>
      </c>
      <c r="F91" s="3">
        <v>4000</v>
      </c>
      <c r="G91" s="3">
        <v>12</v>
      </c>
      <c r="H91" s="3">
        <v>25</v>
      </c>
      <c r="I91" s="4" t="str">
        <f t="shared" si="4"/>
        <v>Mar</v>
      </c>
      <c r="J91" s="4">
        <v>800000</v>
      </c>
      <c r="K91" s="4">
        <v>800000</v>
      </c>
      <c r="L91" s="4">
        <f t="shared" si="5"/>
        <v>1000</v>
      </c>
      <c r="M91" s="4">
        <f t="shared" si="6"/>
        <v>3520</v>
      </c>
      <c r="N91" s="4">
        <f t="shared" si="7"/>
        <v>880</v>
      </c>
    </row>
    <row r="92" spans="1:14" x14ac:dyDescent="0.3">
      <c r="A92" s="2">
        <v>45364</v>
      </c>
      <c r="B92" s="3" t="s">
        <v>11</v>
      </c>
      <c r="C92" s="3" t="s">
        <v>12</v>
      </c>
      <c r="D92" s="3" t="s">
        <v>10</v>
      </c>
      <c r="E92" s="3">
        <v>140</v>
      </c>
      <c r="F92" s="3">
        <v>2800</v>
      </c>
      <c r="G92" s="3">
        <v>11</v>
      </c>
      <c r="H92" s="3">
        <v>20</v>
      </c>
      <c r="I92" s="4" t="str">
        <f t="shared" si="4"/>
        <v>Mar</v>
      </c>
      <c r="J92" s="4">
        <v>392000</v>
      </c>
      <c r="K92" s="4">
        <v>392000</v>
      </c>
      <c r="L92" s="4">
        <f t="shared" si="5"/>
        <v>560</v>
      </c>
      <c r="M92" s="4">
        <f t="shared" si="6"/>
        <v>2492</v>
      </c>
      <c r="N92" s="4">
        <f t="shared" si="7"/>
        <v>498.40000000000003</v>
      </c>
    </row>
    <row r="93" spans="1:14" x14ac:dyDescent="0.3">
      <c r="A93" s="2">
        <v>45365</v>
      </c>
      <c r="B93" s="3" t="s">
        <v>14</v>
      </c>
      <c r="C93" s="3" t="s">
        <v>15</v>
      </c>
      <c r="D93" s="3" t="s">
        <v>13</v>
      </c>
      <c r="E93" s="3">
        <v>160</v>
      </c>
      <c r="F93" s="3">
        <v>3200</v>
      </c>
      <c r="G93" s="3">
        <v>9</v>
      </c>
      <c r="H93" s="3">
        <v>22</v>
      </c>
      <c r="I93" s="4" t="str">
        <f t="shared" si="4"/>
        <v>Mar</v>
      </c>
      <c r="J93" s="4">
        <v>512000</v>
      </c>
      <c r="K93" s="4">
        <v>512000</v>
      </c>
      <c r="L93" s="4">
        <f t="shared" si="5"/>
        <v>704</v>
      </c>
      <c r="M93" s="4">
        <f t="shared" si="6"/>
        <v>2912</v>
      </c>
      <c r="N93" s="4">
        <f t="shared" si="7"/>
        <v>640.64</v>
      </c>
    </row>
    <row r="94" spans="1:14" x14ac:dyDescent="0.3">
      <c r="A94" s="2">
        <v>45366</v>
      </c>
      <c r="B94" s="3" t="s">
        <v>16</v>
      </c>
      <c r="C94" s="3" t="s">
        <v>17</v>
      </c>
      <c r="D94" s="3" t="s">
        <v>18</v>
      </c>
      <c r="E94" s="3">
        <v>190</v>
      </c>
      <c r="F94" s="3">
        <v>3800</v>
      </c>
      <c r="G94" s="3">
        <v>13</v>
      </c>
      <c r="H94" s="3">
        <v>26</v>
      </c>
      <c r="I94" s="4" t="str">
        <f t="shared" si="4"/>
        <v>Mar</v>
      </c>
      <c r="J94" s="4">
        <v>722000</v>
      </c>
      <c r="K94" s="4">
        <v>722000</v>
      </c>
      <c r="L94" s="4">
        <f t="shared" si="5"/>
        <v>988</v>
      </c>
      <c r="M94" s="4">
        <f t="shared" si="6"/>
        <v>3306</v>
      </c>
      <c r="N94" s="4">
        <f t="shared" si="7"/>
        <v>859.56000000000006</v>
      </c>
    </row>
    <row r="95" spans="1:14" x14ac:dyDescent="0.3">
      <c r="A95" s="2">
        <v>45367</v>
      </c>
      <c r="B95" s="3" t="s">
        <v>8</v>
      </c>
      <c r="C95" s="3" t="s">
        <v>9</v>
      </c>
      <c r="D95" s="3" t="s">
        <v>13</v>
      </c>
      <c r="E95" s="3">
        <v>200</v>
      </c>
      <c r="F95" s="3">
        <v>4000</v>
      </c>
      <c r="G95" s="3">
        <v>16</v>
      </c>
      <c r="H95" s="3">
        <v>28</v>
      </c>
      <c r="I95" s="4" t="str">
        <f t="shared" si="4"/>
        <v>Mar</v>
      </c>
      <c r="J95" s="4">
        <v>800000</v>
      </c>
      <c r="K95" s="4">
        <v>800000</v>
      </c>
      <c r="L95" s="4">
        <f t="shared" si="5"/>
        <v>1120</v>
      </c>
      <c r="M95" s="4">
        <f t="shared" si="6"/>
        <v>3360</v>
      </c>
      <c r="N95" s="4">
        <f t="shared" si="7"/>
        <v>940.80000000000007</v>
      </c>
    </row>
    <row r="96" spans="1:14" x14ac:dyDescent="0.3">
      <c r="A96" s="2">
        <v>45368</v>
      </c>
      <c r="B96" s="3" t="s">
        <v>11</v>
      </c>
      <c r="C96" s="3" t="s">
        <v>12</v>
      </c>
      <c r="D96" s="3" t="s">
        <v>18</v>
      </c>
      <c r="E96" s="3">
        <v>180</v>
      </c>
      <c r="F96" s="3">
        <v>3600</v>
      </c>
      <c r="G96" s="3">
        <v>15</v>
      </c>
      <c r="H96" s="3">
        <v>30</v>
      </c>
      <c r="I96" s="4" t="str">
        <f t="shared" si="4"/>
        <v>Mar</v>
      </c>
      <c r="J96" s="4">
        <v>648000</v>
      </c>
      <c r="K96" s="4">
        <v>648000</v>
      </c>
      <c r="L96" s="4">
        <f t="shared" si="5"/>
        <v>1080</v>
      </c>
      <c r="M96" s="4">
        <f t="shared" si="6"/>
        <v>3060</v>
      </c>
      <c r="N96" s="4">
        <f t="shared" si="7"/>
        <v>918</v>
      </c>
    </row>
    <row r="97" spans="1:14" x14ac:dyDescent="0.3">
      <c r="A97" s="2">
        <v>45369</v>
      </c>
      <c r="B97" s="3" t="s">
        <v>14</v>
      </c>
      <c r="C97" s="3" t="s">
        <v>15</v>
      </c>
      <c r="D97" s="3" t="s">
        <v>10</v>
      </c>
      <c r="E97" s="3">
        <v>140</v>
      </c>
      <c r="F97" s="3">
        <v>2800</v>
      </c>
      <c r="G97" s="3">
        <v>6</v>
      </c>
      <c r="H97" s="3">
        <v>21</v>
      </c>
      <c r="I97" s="4" t="str">
        <f t="shared" si="4"/>
        <v>Mar</v>
      </c>
      <c r="J97" s="4">
        <v>392000</v>
      </c>
      <c r="K97" s="4">
        <v>392000</v>
      </c>
      <c r="L97" s="4">
        <f t="shared" si="5"/>
        <v>588</v>
      </c>
      <c r="M97" s="4">
        <f t="shared" si="6"/>
        <v>2632</v>
      </c>
      <c r="N97" s="4">
        <f t="shared" si="7"/>
        <v>552.72</v>
      </c>
    </row>
    <row r="98" spans="1:14" x14ac:dyDescent="0.3">
      <c r="A98" s="2">
        <v>45370</v>
      </c>
      <c r="B98" s="3" t="s">
        <v>16</v>
      </c>
      <c r="C98" s="3" t="s">
        <v>17</v>
      </c>
      <c r="D98" s="3" t="s">
        <v>13</v>
      </c>
      <c r="E98" s="3">
        <v>220</v>
      </c>
      <c r="F98" s="3">
        <v>4400</v>
      </c>
      <c r="G98" s="3">
        <v>18</v>
      </c>
      <c r="H98" s="3">
        <v>27</v>
      </c>
      <c r="I98" s="4" t="str">
        <f t="shared" si="4"/>
        <v>Mar</v>
      </c>
      <c r="J98" s="4">
        <v>968000</v>
      </c>
      <c r="K98" s="4">
        <v>968000</v>
      </c>
      <c r="L98" s="4">
        <f t="shared" si="5"/>
        <v>1188</v>
      </c>
      <c r="M98" s="4">
        <f t="shared" si="6"/>
        <v>3608</v>
      </c>
      <c r="N98" s="4">
        <f t="shared" si="7"/>
        <v>974.16000000000008</v>
      </c>
    </row>
    <row r="99" spans="1:14" x14ac:dyDescent="0.3">
      <c r="A99" s="2">
        <v>45371</v>
      </c>
      <c r="B99" s="3" t="s">
        <v>8</v>
      </c>
      <c r="C99" s="3" t="s">
        <v>9</v>
      </c>
      <c r="D99" s="3" t="s">
        <v>18</v>
      </c>
      <c r="E99" s="3">
        <v>150</v>
      </c>
      <c r="F99" s="3">
        <v>3000</v>
      </c>
      <c r="G99" s="3">
        <v>14</v>
      </c>
      <c r="H99" s="3">
        <v>22</v>
      </c>
      <c r="I99" s="4" t="str">
        <f t="shared" si="4"/>
        <v>Mar</v>
      </c>
      <c r="J99" s="4">
        <v>450000</v>
      </c>
      <c r="K99" s="4">
        <v>450000</v>
      </c>
      <c r="L99" s="4">
        <f t="shared" si="5"/>
        <v>660</v>
      </c>
      <c r="M99" s="4">
        <f t="shared" si="6"/>
        <v>2580</v>
      </c>
      <c r="N99" s="4">
        <f t="shared" si="7"/>
        <v>567.6</v>
      </c>
    </row>
    <row r="100" spans="1:14" x14ac:dyDescent="0.3">
      <c r="A100" s="2">
        <v>45372</v>
      </c>
      <c r="B100" s="3" t="s">
        <v>11</v>
      </c>
      <c r="C100" s="3" t="s">
        <v>12</v>
      </c>
      <c r="D100" s="3" t="s">
        <v>10</v>
      </c>
      <c r="E100" s="3">
        <v>160</v>
      </c>
      <c r="F100" s="3">
        <v>3200</v>
      </c>
      <c r="G100" s="3">
        <v>13</v>
      </c>
      <c r="H100" s="3">
        <v>24</v>
      </c>
      <c r="I100" s="4" t="str">
        <f t="shared" si="4"/>
        <v>Mar</v>
      </c>
      <c r="J100" s="4">
        <v>512000</v>
      </c>
      <c r="K100" s="4">
        <v>512000</v>
      </c>
      <c r="L100" s="4">
        <f t="shared" si="5"/>
        <v>768</v>
      </c>
      <c r="M100" s="4">
        <f t="shared" si="6"/>
        <v>2784</v>
      </c>
      <c r="N100" s="4">
        <f t="shared" si="7"/>
        <v>668.16</v>
      </c>
    </row>
    <row r="101" spans="1:14" x14ac:dyDescent="0.3">
      <c r="A101" s="2">
        <v>45373</v>
      </c>
      <c r="B101" s="3" t="s">
        <v>14</v>
      </c>
      <c r="C101" s="3" t="s">
        <v>15</v>
      </c>
      <c r="D101" s="3" t="s">
        <v>13</v>
      </c>
      <c r="E101" s="3">
        <v>190</v>
      </c>
      <c r="F101" s="3">
        <v>3800</v>
      </c>
      <c r="G101" s="3">
        <v>12</v>
      </c>
      <c r="H101" s="3">
        <v>23</v>
      </c>
      <c r="I101" s="4" t="str">
        <f t="shared" si="4"/>
        <v>Mar</v>
      </c>
      <c r="J101" s="4">
        <v>722000</v>
      </c>
      <c r="K101" s="4">
        <v>722000</v>
      </c>
      <c r="L101" s="4">
        <f t="shared" si="5"/>
        <v>874</v>
      </c>
      <c r="M101" s="4">
        <f t="shared" si="6"/>
        <v>3344</v>
      </c>
      <c r="N101" s="4">
        <f t="shared" si="7"/>
        <v>769.12</v>
      </c>
    </row>
    <row r="102" spans="1:14" x14ac:dyDescent="0.3">
      <c r="A102" s="2">
        <v>45374</v>
      </c>
      <c r="B102" s="3" t="s">
        <v>16</v>
      </c>
      <c r="C102" s="3" t="s">
        <v>17</v>
      </c>
      <c r="D102" s="3" t="s">
        <v>18</v>
      </c>
      <c r="E102" s="3">
        <v>210</v>
      </c>
      <c r="F102" s="3">
        <v>4200</v>
      </c>
      <c r="G102" s="3">
        <v>16</v>
      </c>
      <c r="H102" s="3">
        <v>28</v>
      </c>
      <c r="I102" s="4" t="str">
        <f t="shared" si="4"/>
        <v>Mar</v>
      </c>
      <c r="J102" s="4">
        <v>882000</v>
      </c>
      <c r="K102" s="4">
        <v>882000</v>
      </c>
      <c r="L102" s="4">
        <f t="shared" si="5"/>
        <v>1176</v>
      </c>
      <c r="M102" s="4">
        <f t="shared" si="6"/>
        <v>3528</v>
      </c>
      <c r="N102" s="4">
        <f t="shared" si="7"/>
        <v>987.84000000000015</v>
      </c>
    </row>
    <row r="103" spans="1:14" x14ac:dyDescent="0.3">
      <c r="A103" s="2">
        <v>45375</v>
      </c>
      <c r="B103" s="3" t="s">
        <v>8</v>
      </c>
      <c r="C103" s="3" t="s">
        <v>9</v>
      </c>
      <c r="D103" s="3" t="s">
        <v>10</v>
      </c>
      <c r="E103" s="3">
        <v>170</v>
      </c>
      <c r="F103" s="3">
        <v>3400</v>
      </c>
      <c r="G103" s="3">
        <v>15</v>
      </c>
      <c r="H103" s="3">
        <v>25</v>
      </c>
      <c r="I103" s="4" t="str">
        <f t="shared" si="4"/>
        <v>Mar</v>
      </c>
      <c r="J103" s="4">
        <v>578000</v>
      </c>
      <c r="K103" s="4">
        <v>578000</v>
      </c>
      <c r="L103" s="4">
        <f t="shared" si="5"/>
        <v>850</v>
      </c>
      <c r="M103" s="4">
        <f t="shared" si="6"/>
        <v>2890</v>
      </c>
      <c r="N103" s="4">
        <f t="shared" si="7"/>
        <v>722.5</v>
      </c>
    </row>
    <row r="104" spans="1:14" x14ac:dyDescent="0.3">
      <c r="A104" s="2">
        <v>45376</v>
      </c>
      <c r="B104" s="3" t="s">
        <v>11</v>
      </c>
      <c r="C104" s="3" t="s">
        <v>12</v>
      </c>
      <c r="D104" s="3" t="s">
        <v>13</v>
      </c>
      <c r="E104" s="3">
        <v>140</v>
      </c>
      <c r="F104" s="3">
        <v>2800</v>
      </c>
      <c r="G104" s="3">
        <v>10</v>
      </c>
      <c r="H104" s="3">
        <v>22</v>
      </c>
      <c r="I104" s="4" t="str">
        <f t="shared" si="4"/>
        <v>Mar</v>
      </c>
      <c r="J104" s="4">
        <v>392000</v>
      </c>
      <c r="K104" s="4">
        <v>392000</v>
      </c>
      <c r="L104" s="4">
        <f t="shared" si="5"/>
        <v>616</v>
      </c>
      <c r="M104" s="4">
        <f t="shared" si="6"/>
        <v>2520</v>
      </c>
      <c r="N104" s="4">
        <f t="shared" si="7"/>
        <v>554.4</v>
      </c>
    </row>
    <row r="105" spans="1:14" x14ac:dyDescent="0.3">
      <c r="A105" s="2">
        <v>45377</v>
      </c>
      <c r="B105" s="3" t="s">
        <v>14</v>
      </c>
      <c r="C105" s="3" t="s">
        <v>15</v>
      </c>
      <c r="D105" s="3" t="s">
        <v>18</v>
      </c>
      <c r="E105" s="3">
        <v>220</v>
      </c>
      <c r="F105" s="3">
        <v>4400</v>
      </c>
      <c r="G105" s="3">
        <v>14</v>
      </c>
      <c r="H105" s="3">
        <v>30</v>
      </c>
      <c r="I105" s="4" t="str">
        <f t="shared" si="4"/>
        <v>Mar</v>
      </c>
      <c r="J105" s="4">
        <v>968000</v>
      </c>
      <c r="K105" s="4">
        <v>968000</v>
      </c>
      <c r="L105" s="4">
        <f t="shared" si="5"/>
        <v>1320</v>
      </c>
      <c r="M105" s="4">
        <f t="shared" si="6"/>
        <v>3784</v>
      </c>
      <c r="N105" s="4">
        <f t="shared" si="7"/>
        <v>1135.2</v>
      </c>
    </row>
    <row r="106" spans="1:14" x14ac:dyDescent="0.3">
      <c r="A106" s="2">
        <v>45378</v>
      </c>
      <c r="B106" s="3" t="s">
        <v>16</v>
      </c>
      <c r="C106" s="3" t="s">
        <v>17</v>
      </c>
      <c r="D106" s="3" t="s">
        <v>10</v>
      </c>
      <c r="E106" s="3">
        <v>130</v>
      </c>
      <c r="F106" s="3">
        <v>2600</v>
      </c>
      <c r="G106" s="3">
        <v>12</v>
      </c>
      <c r="H106" s="3">
        <v>23</v>
      </c>
      <c r="I106" s="4" t="str">
        <f t="shared" si="4"/>
        <v>Mar</v>
      </c>
      <c r="J106" s="4">
        <v>338000</v>
      </c>
      <c r="K106" s="4">
        <v>338000</v>
      </c>
      <c r="L106" s="4">
        <f t="shared" si="5"/>
        <v>598</v>
      </c>
      <c r="M106" s="4">
        <f t="shared" si="6"/>
        <v>2288</v>
      </c>
      <c r="N106" s="4">
        <f t="shared" si="7"/>
        <v>526.24</v>
      </c>
    </row>
    <row r="107" spans="1:14" x14ac:dyDescent="0.3">
      <c r="A107" s="2">
        <v>45379</v>
      </c>
      <c r="B107" s="3" t="s">
        <v>8</v>
      </c>
      <c r="C107" s="3" t="s">
        <v>9</v>
      </c>
      <c r="D107" s="3" t="s">
        <v>13</v>
      </c>
      <c r="E107" s="3">
        <v>150</v>
      </c>
      <c r="F107" s="3">
        <v>3000</v>
      </c>
      <c r="G107" s="3">
        <v>13</v>
      </c>
      <c r="H107" s="3">
        <v>24</v>
      </c>
      <c r="I107" s="4" t="str">
        <f t="shared" si="4"/>
        <v>Mar</v>
      </c>
      <c r="J107" s="4">
        <v>450000</v>
      </c>
      <c r="K107" s="4">
        <v>450000</v>
      </c>
      <c r="L107" s="4">
        <f t="shared" si="5"/>
        <v>720</v>
      </c>
      <c r="M107" s="4">
        <f t="shared" si="6"/>
        <v>2610</v>
      </c>
      <c r="N107" s="4">
        <f t="shared" si="7"/>
        <v>626.4</v>
      </c>
    </row>
    <row r="108" spans="1:14" x14ac:dyDescent="0.3">
      <c r="A108" s="2">
        <v>45380</v>
      </c>
      <c r="B108" s="3" t="s">
        <v>11</v>
      </c>
      <c r="C108" s="3" t="s">
        <v>12</v>
      </c>
      <c r="D108" s="3" t="s">
        <v>18</v>
      </c>
      <c r="E108" s="3">
        <v>200</v>
      </c>
      <c r="F108" s="3">
        <v>4000</v>
      </c>
      <c r="G108" s="3">
        <v>11</v>
      </c>
      <c r="H108" s="3">
        <v>21</v>
      </c>
      <c r="I108" s="4" t="str">
        <f t="shared" si="4"/>
        <v>Mar</v>
      </c>
      <c r="J108" s="4">
        <v>800000</v>
      </c>
      <c r="K108" s="4">
        <v>800000</v>
      </c>
      <c r="L108" s="4">
        <f t="shared" si="5"/>
        <v>840</v>
      </c>
      <c r="M108" s="4">
        <f t="shared" si="6"/>
        <v>3560</v>
      </c>
      <c r="N108" s="4">
        <f t="shared" si="7"/>
        <v>747.6</v>
      </c>
    </row>
    <row r="109" spans="1:14" x14ac:dyDescent="0.3">
      <c r="A109" s="2">
        <v>45381</v>
      </c>
      <c r="B109" s="3" t="s">
        <v>14</v>
      </c>
      <c r="C109" s="3" t="s">
        <v>15</v>
      </c>
      <c r="D109" s="3" t="s">
        <v>10</v>
      </c>
      <c r="E109" s="3">
        <v>160</v>
      </c>
      <c r="F109" s="3">
        <v>3200</v>
      </c>
      <c r="G109" s="3">
        <v>8</v>
      </c>
      <c r="H109" s="3">
        <v>22</v>
      </c>
      <c r="I109" s="4" t="str">
        <f t="shared" si="4"/>
        <v>Mar</v>
      </c>
      <c r="J109" s="4">
        <v>512000</v>
      </c>
      <c r="K109" s="4">
        <v>512000</v>
      </c>
      <c r="L109" s="4">
        <f t="shared" si="5"/>
        <v>704</v>
      </c>
      <c r="M109" s="4">
        <f t="shared" si="6"/>
        <v>2944</v>
      </c>
      <c r="N109" s="4">
        <f t="shared" si="7"/>
        <v>647.67999999999995</v>
      </c>
    </row>
    <row r="110" spans="1:14" x14ac:dyDescent="0.3">
      <c r="A110" s="2">
        <v>45382</v>
      </c>
      <c r="B110" s="3" t="s">
        <v>16</v>
      </c>
      <c r="C110" s="3" t="s">
        <v>17</v>
      </c>
      <c r="D110" s="3" t="s">
        <v>13</v>
      </c>
      <c r="E110" s="3">
        <v>180</v>
      </c>
      <c r="F110" s="3">
        <v>3600</v>
      </c>
      <c r="G110" s="3">
        <v>17</v>
      </c>
      <c r="H110" s="3">
        <v>28</v>
      </c>
      <c r="I110" s="4" t="str">
        <f t="shared" si="4"/>
        <v>Mar</v>
      </c>
      <c r="J110" s="4">
        <v>648000</v>
      </c>
      <c r="K110" s="4">
        <v>648000</v>
      </c>
      <c r="L110" s="4">
        <f t="shared" si="5"/>
        <v>1008.0000000000001</v>
      </c>
      <c r="M110" s="4">
        <f t="shared" si="6"/>
        <v>2988</v>
      </c>
      <c r="N110" s="4">
        <f t="shared" si="7"/>
        <v>836.6400000000001</v>
      </c>
    </row>
    <row r="114" spans="1:9" x14ac:dyDescent="0.3">
      <c r="A114" s="47"/>
      <c r="B114" s="47"/>
      <c r="C114" s="47"/>
      <c r="D114" s="47"/>
      <c r="E114" s="47"/>
      <c r="F114" s="47"/>
      <c r="G114" s="47"/>
      <c r="H114" s="47"/>
      <c r="I114" s="47"/>
    </row>
    <row r="115" spans="1:9" x14ac:dyDescent="0.3">
      <c r="A115" s="47"/>
      <c r="B115" s="47"/>
      <c r="C115" s="47"/>
      <c r="D115" s="47"/>
      <c r="E115" s="47"/>
      <c r="F115" s="47"/>
      <c r="G115" s="47"/>
      <c r="H115" s="47"/>
      <c r="I115" s="47"/>
    </row>
    <row r="116" spans="1:9" x14ac:dyDescent="0.3">
      <c r="A116" s="43"/>
      <c r="B116" s="43"/>
      <c r="C116" s="43"/>
      <c r="D116" s="43"/>
      <c r="E116" s="43"/>
      <c r="F116" s="43"/>
      <c r="G116" s="43"/>
      <c r="H116" s="43"/>
      <c r="I116" s="43"/>
    </row>
    <row r="117" spans="1:9" x14ac:dyDescent="0.3">
      <c r="A117" s="43"/>
      <c r="B117" s="43"/>
      <c r="C117" s="43"/>
      <c r="D117" s="43"/>
      <c r="E117" s="43"/>
      <c r="F117" s="43"/>
      <c r="G117" s="43"/>
      <c r="H117" s="43"/>
      <c r="I117" s="43"/>
    </row>
    <row r="118" spans="1:9" x14ac:dyDescent="0.3">
      <c r="A118" s="43"/>
      <c r="B118" s="43"/>
      <c r="C118" s="43"/>
      <c r="D118" s="43"/>
      <c r="E118" s="43"/>
      <c r="F118" s="43"/>
      <c r="G118" s="43"/>
      <c r="H118" s="43"/>
      <c r="I118" s="43"/>
    </row>
    <row r="119" spans="1:9" x14ac:dyDescent="0.3">
      <c r="A119" s="6"/>
    </row>
    <row r="120" spans="1:9" x14ac:dyDescent="0.3">
      <c r="A120" s="43"/>
      <c r="B120" s="43"/>
      <c r="C120" s="43"/>
      <c r="D120" s="43"/>
      <c r="E120" s="43"/>
      <c r="F120" s="43"/>
      <c r="G120" s="43"/>
      <c r="H120" s="43"/>
      <c r="I120" s="43"/>
    </row>
    <row r="121" spans="1:9" x14ac:dyDescent="0.3">
      <c r="A121" s="43"/>
      <c r="B121" s="43"/>
      <c r="C121" s="43"/>
      <c r="D121" s="43"/>
      <c r="E121" s="43"/>
      <c r="F121" s="43"/>
      <c r="G121" s="43"/>
      <c r="H121" s="43"/>
      <c r="I121" s="43"/>
    </row>
    <row r="122" spans="1:9" x14ac:dyDescent="0.3">
      <c r="A122" s="43"/>
      <c r="B122" s="43"/>
      <c r="C122" s="43"/>
      <c r="D122" s="43"/>
      <c r="E122" s="43"/>
      <c r="F122" s="43"/>
      <c r="G122" s="43"/>
      <c r="H122" s="43"/>
      <c r="I122" s="43"/>
    </row>
    <row r="123" spans="1:9" x14ac:dyDescent="0.3">
      <c r="A123" s="6"/>
    </row>
    <row r="124" spans="1:9" x14ac:dyDescent="0.3">
      <c r="A124" s="43"/>
      <c r="B124" s="43"/>
      <c r="C124" s="43"/>
      <c r="D124" s="43"/>
      <c r="E124" s="43"/>
      <c r="F124" s="43"/>
      <c r="G124" s="43"/>
      <c r="H124" s="43"/>
      <c r="I124" s="43"/>
    </row>
    <row r="125" spans="1:9" x14ac:dyDescent="0.3">
      <c r="A125" s="43"/>
      <c r="B125" s="43"/>
      <c r="C125" s="43"/>
      <c r="D125" s="43"/>
      <c r="E125" s="43"/>
      <c r="F125" s="43"/>
      <c r="G125" s="43"/>
      <c r="H125" s="43"/>
      <c r="I125" s="43"/>
    </row>
    <row r="126" spans="1:9" x14ac:dyDescent="0.3">
      <c r="A126" s="43"/>
      <c r="B126" s="43"/>
      <c r="C126" s="43"/>
      <c r="D126" s="43"/>
      <c r="E126" s="43"/>
      <c r="F126" s="43"/>
      <c r="G126" s="43"/>
      <c r="H126" s="43"/>
      <c r="I126" s="43"/>
    </row>
    <row r="127" spans="1:9" x14ac:dyDescent="0.3">
      <c r="A127" s="6"/>
    </row>
    <row r="128" spans="1:9" x14ac:dyDescent="0.3">
      <c r="A128" s="43"/>
      <c r="B128" s="43"/>
      <c r="C128" s="43"/>
      <c r="D128" s="43"/>
      <c r="E128" s="43"/>
      <c r="F128" s="43"/>
      <c r="G128" s="43"/>
      <c r="H128" s="43"/>
      <c r="I128" s="43"/>
    </row>
    <row r="129" spans="1:9" x14ac:dyDescent="0.3">
      <c r="A129" s="43"/>
      <c r="B129" s="43"/>
      <c r="C129" s="43"/>
      <c r="D129" s="43"/>
      <c r="E129" s="43"/>
      <c r="F129" s="43"/>
      <c r="G129" s="43"/>
      <c r="H129" s="43"/>
      <c r="I129" s="43"/>
    </row>
    <row r="130" spans="1:9" x14ac:dyDescent="0.3">
      <c r="A130" s="43"/>
      <c r="B130" s="43"/>
      <c r="C130" s="43"/>
      <c r="D130" s="43"/>
      <c r="E130" s="43"/>
      <c r="F130" s="43"/>
      <c r="G130" s="43"/>
      <c r="H130" s="43"/>
      <c r="I130" s="43"/>
    </row>
    <row r="131" spans="1:9" x14ac:dyDescent="0.3">
      <c r="A131" s="6"/>
    </row>
    <row r="132" spans="1:9" x14ac:dyDescent="0.3">
      <c r="A132" s="43"/>
      <c r="B132" s="43"/>
      <c r="C132" s="43"/>
      <c r="D132" s="43"/>
      <c r="E132" s="43"/>
      <c r="F132" s="43"/>
      <c r="G132" s="43"/>
      <c r="H132" s="43"/>
      <c r="I132" s="43"/>
    </row>
    <row r="133" spans="1:9" x14ac:dyDescent="0.3">
      <c r="A133" s="43"/>
      <c r="B133" s="43"/>
      <c r="C133" s="43"/>
      <c r="D133" s="43"/>
      <c r="E133" s="43"/>
      <c r="F133" s="43"/>
      <c r="G133" s="43"/>
      <c r="H133" s="43"/>
      <c r="I133" s="43"/>
    </row>
    <row r="134" spans="1:9" x14ac:dyDescent="0.3">
      <c r="A134" s="43"/>
      <c r="B134" s="43"/>
      <c r="C134" s="43"/>
      <c r="D134" s="43"/>
      <c r="E134" s="43"/>
      <c r="F134" s="43"/>
      <c r="G134" s="43"/>
      <c r="H134" s="43"/>
      <c r="I134" s="43"/>
    </row>
    <row r="135" spans="1:9" x14ac:dyDescent="0.3">
      <c r="A135" s="6"/>
    </row>
    <row r="136" spans="1:9" x14ac:dyDescent="0.3">
      <c r="A136" s="5"/>
    </row>
    <row r="137" spans="1:9" x14ac:dyDescent="0.3">
      <c r="A137" s="43"/>
      <c r="B137" s="43"/>
      <c r="C137" s="43"/>
      <c r="D137" s="43"/>
      <c r="E137" s="43"/>
      <c r="F137" s="43"/>
      <c r="G137" s="43"/>
    </row>
    <row r="138" spans="1:9" x14ac:dyDescent="0.3">
      <c r="A138" s="43"/>
      <c r="B138" s="43"/>
      <c r="C138" s="43"/>
      <c r="D138" s="43"/>
      <c r="E138" s="43"/>
      <c r="F138" s="43"/>
      <c r="G138" s="43"/>
    </row>
    <row r="139" spans="1:9" x14ac:dyDescent="0.3">
      <c r="A139" s="6"/>
    </row>
    <row r="140" spans="1:9" x14ac:dyDescent="0.3">
      <c r="A140" s="43"/>
      <c r="B140" s="43"/>
      <c r="C140" s="43"/>
      <c r="D140" s="43"/>
      <c r="E140" s="43"/>
      <c r="F140" s="43"/>
      <c r="G140" s="43"/>
      <c r="H140" s="43"/>
      <c r="I140" s="43"/>
    </row>
    <row r="141" spans="1:9" x14ac:dyDescent="0.3">
      <c r="A141" s="43"/>
      <c r="B141" s="43"/>
      <c r="C141" s="43"/>
      <c r="D141" s="43"/>
      <c r="E141" s="43"/>
      <c r="F141" s="43"/>
      <c r="G141" s="43"/>
      <c r="H141" s="43"/>
      <c r="I141" s="43"/>
    </row>
    <row r="142" spans="1:9" x14ac:dyDescent="0.3">
      <c r="A142" s="43"/>
      <c r="B142" s="43"/>
      <c r="C142" s="43"/>
      <c r="D142" s="43"/>
      <c r="E142" s="43"/>
      <c r="F142" s="43"/>
      <c r="G142" s="43"/>
      <c r="H142" s="43"/>
      <c r="I142" s="43"/>
    </row>
    <row r="143" spans="1:9" x14ac:dyDescent="0.3">
      <c r="A143" s="6"/>
    </row>
    <row r="144" spans="1:9" x14ac:dyDescent="0.3">
      <c r="A144" s="43"/>
      <c r="B144" s="43"/>
      <c r="C144" s="43"/>
      <c r="D144" s="43"/>
      <c r="E144" s="43"/>
      <c r="F144" s="43"/>
      <c r="G144" s="43"/>
      <c r="H144" s="43"/>
      <c r="I144" s="43"/>
    </row>
    <row r="145" spans="1:9" x14ac:dyDescent="0.3">
      <c r="A145" s="43"/>
      <c r="B145" s="43"/>
      <c r="C145" s="43"/>
      <c r="D145" s="43"/>
      <c r="E145" s="43"/>
      <c r="F145" s="43"/>
      <c r="G145" s="43"/>
      <c r="H145" s="43"/>
      <c r="I145" s="43"/>
    </row>
    <row r="146" spans="1:9" x14ac:dyDescent="0.3">
      <c r="A146" s="43"/>
      <c r="B146" s="43"/>
      <c r="C146" s="43"/>
      <c r="D146" s="43"/>
      <c r="E146" s="43"/>
      <c r="F146" s="43"/>
      <c r="G146" s="43"/>
      <c r="H146" s="43"/>
      <c r="I146" s="43"/>
    </row>
    <row r="148" spans="1:9" x14ac:dyDescent="0.3">
      <c r="A148" s="48"/>
      <c r="B148" s="48"/>
      <c r="C148" s="48"/>
      <c r="D148" s="48"/>
      <c r="E148" s="48"/>
      <c r="F148" s="48"/>
      <c r="G148" s="48"/>
      <c r="H148" s="48"/>
      <c r="I148" s="48"/>
    </row>
    <row r="149" spans="1:9" x14ac:dyDescent="0.3">
      <c r="A149" s="48"/>
      <c r="B149" s="48"/>
      <c r="C149" s="48"/>
      <c r="D149" s="48"/>
      <c r="E149" s="48"/>
      <c r="F149" s="48"/>
      <c r="G149" s="48"/>
      <c r="H149" s="48"/>
      <c r="I149" s="48"/>
    </row>
    <row r="150" spans="1:9" x14ac:dyDescent="0.3">
      <c r="A150" s="43"/>
      <c r="B150" s="43"/>
      <c r="C150" s="43"/>
      <c r="D150" s="43"/>
      <c r="E150" s="43"/>
      <c r="F150" s="43"/>
      <c r="G150" s="43"/>
      <c r="H150" s="43"/>
      <c r="I150" s="43"/>
    </row>
    <row r="151" spans="1:9" x14ac:dyDescent="0.3">
      <c r="A151" s="43"/>
      <c r="B151" s="43"/>
      <c r="C151" s="43"/>
      <c r="D151" s="43"/>
      <c r="E151" s="43"/>
      <c r="F151" s="43"/>
      <c r="G151" s="43"/>
      <c r="H151" s="43"/>
      <c r="I151" s="43"/>
    </row>
    <row r="152" spans="1:9" x14ac:dyDescent="0.3">
      <c r="A152" s="43"/>
      <c r="B152" s="43"/>
      <c r="C152" s="43"/>
      <c r="D152" s="43"/>
      <c r="E152" s="43"/>
      <c r="F152" s="43"/>
      <c r="G152" s="43"/>
      <c r="H152" s="43"/>
      <c r="I152" s="43"/>
    </row>
    <row r="153" spans="1:9" x14ac:dyDescent="0.3">
      <c r="A153" s="6"/>
    </row>
    <row r="154" spans="1:9" x14ac:dyDescent="0.3">
      <c r="A154" s="43"/>
      <c r="B154" s="43"/>
      <c r="C154" s="43"/>
      <c r="D154" s="43"/>
      <c r="E154" s="43"/>
      <c r="F154" s="43"/>
      <c r="G154" s="43"/>
      <c r="H154" s="43"/>
      <c r="I154" s="43"/>
    </row>
    <row r="155" spans="1:9" x14ac:dyDescent="0.3">
      <c r="A155" s="43"/>
      <c r="B155" s="43"/>
      <c r="C155" s="43"/>
      <c r="D155" s="43"/>
      <c r="E155" s="43"/>
      <c r="F155" s="43"/>
      <c r="G155" s="43"/>
      <c r="H155" s="43"/>
      <c r="I155" s="43"/>
    </row>
    <row r="156" spans="1:9" x14ac:dyDescent="0.3">
      <c r="A156" s="43"/>
      <c r="B156" s="43"/>
      <c r="C156" s="43"/>
      <c r="D156" s="43"/>
      <c r="E156" s="43"/>
      <c r="F156" s="43"/>
      <c r="G156" s="43"/>
      <c r="H156" s="43"/>
      <c r="I156" s="43"/>
    </row>
    <row r="157" spans="1:9" x14ac:dyDescent="0.3">
      <c r="A157" s="6"/>
    </row>
    <row r="158" spans="1:9" x14ac:dyDescent="0.3">
      <c r="A158" s="43"/>
      <c r="B158" s="43"/>
      <c r="C158" s="43"/>
      <c r="D158" s="43"/>
      <c r="E158" s="43"/>
      <c r="F158" s="43"/>
      <c r="G158" s="43"/>
      <c r="H158" s="43"/>
      <c r="I158" s="43"/>
    </row>
    <row r="159" spans="1:9" x14ac:dyDescent="0.3">
      <c r="A159" s="43"/>
      <c r="B159" s="43"/>
      <c r="C159" s="43"/>
      <c r="D159" s="43"/>
      <c r="E159" s="43"/>
      <c r="F159" s="43"/>
      <c r="G159" s="43"/>
      <c r="H159" s="43"/>
      <c r="I159" s="43"/>
    </row>
    <row r="160" spans="1:9" x14ac:dyDescent="0.3">
      <c r="A160" s="43"/>
      <c r="B160" s="43"/>
      <c r="C160" s="43"/>
      <c r="D160" s="43"/>
      <c r="E160" s="43"/>
      <c r="F160" s="43"/>
      <c r="G160" s="43"/>
      <c r="H160" s="43"/>
      <c r="I160" s="43"/>
    </row>
    <row r="161" spans="1:9" x14ac:dyDescent="0.3">
      <c r="A161" s="6"/>
    </row>
    <row r="162" spans="1:9" x14ac:dyDescent="0.3">
      <c r="A162" s="43"/>
      <c r="B162" s="43"/>
      <c r="C162" s="43"/>
      <c r="D162" s="43"/>
      <c r="E162" s="43"/>
      <c r="F162" s="43"/>
      <c r="G162" s="43"/>
      <c r="H162" s="43"/>
      <c r="I162" s="43"/>
    </row>
    <row r="163" spans="1:9" x14ac:dyDescent="0.3">
      <c r="A163" s="43"/>
      <c r="B163" s="43"/>
      <c r="C163" s="43"/>
      <c r="D163" s="43"/>
      <c r="E163" s="43"/>
      <c r="F163" s="43"/>
      <c r="G163" s="43"/>
      <c r="H163" s="43"/>
      <c r="I163" s="43"/>
    </row>
    <row r="164" spans="1:9" x14ac:dyDescent="0.3">
      <c r="A164" s="43"/>
      <c r="B164" s="43"/>
      <c r="C164" s="43"/>
      <c r="D164" s="43"/>
      <c r="E164" s="43"/>
      <c r="F164" s="43"/>
      <c r="G164" s="43"/>
      <c r="H164" s="43"/>
      <c r="I164" s="43"/>
    </row>
    <row r="166" spans="1:9" x14ac:dyDescent="0.3">
      <c r="A166" s="43"/>
      <c r="B166" s="43"/>
      <c r="C166" s="43"/>
      <c r="D166" s="43"/>
      <c r="E166" s="43"/>
      <c r="F166" s="43"/>
      <c r="G166" s="43"/>
      <c r="H166" s="43"/>
      <c r="I166" s="43"/>
    </row>
    <row r="167" spans="1:9" x14ac:dyDescent="0.3">
      <c r="A167" s="6"/>
    </row>
    <row r="168" spans="1:9" x14ac:dyDescent="0.3">
      <c r="A168" s="49"/>
      <c r="B168" s="49"/>
      <c r="C168" s="49"/>
      <c r="D168" s="49"/>
      <c r="E168" s="49"/>
      <c r="F168" s="49"/>
      <c r="G168" s="49"/>
      <c r="H168" s="49"/>
      <c r="I168" s="49"/>
    </row>
    <row r="169" spans="1:9" x14ac:dyDescent="0.3">
      <c r="A169" s="6"/>
    </row>
    <row r="170" spans="1:9" x14ac:dyDescent="0.3">
      <c r="A170" s="49"/>
      <c r="B170" s="49"/>
      <c r="C170" s="49"/>
      <c r="D170" s="49"/>
      <c r="E170" s="49"/>
      <c r="F170" s="49"/>
      <c r="G170" s="49"/>
      <c r="H170" s="49"/>
      <c r="I170" s="49"/>
    </row>
    <row r="171" spans="1:9" x14ac:dyDescent="0.3">
      <c r="A171" s="6"/>
    </row>
    <row r="172" spans="1:9" x14ac:dyDescent="0.3">
      <c r="A172" s="49"/>
      <c r="B172" s="49"/>
      <c r="C172" s="49"/>
      <c r="D172" s="49"/>
      <c r="E172" s="49"/>
      <c r="F172" s="49"/>
      <c r="G172" s="49"/>
      <c r="H172" s="49"/>
      <c r="I172" s="49"/>
    </row>
    <row r="173" spans="1:9" x14ac:dyDescent="0.3">
      <c r="A173" s="6"/>
    </row>
    <row r="174" spans="1:9" x14ac:dyDescent="0.3">
      <c r="A174" s="49"/>
      <c r="B174" s="49"/>
      <c r="C174" s="49"/>
      <c r="D174" s="49"/>
      <c r="E174" s="49"/>
      <c r="F174" s="49"/>
      <c r="G174" s="49"/>
      <c r="H174" s="49"/>
      <c r="I174" s="49"/>
    </row>
  </sheetData>
  <mergeCells count="44">
    <mergeCell ref="A172:I172"/>
    <mergeCell ref="A174:I174"/>
    <mergeCell ref="A162:I162"/>
    <mergeCell ref="A163:I163"/>
    <mergeCell ref="A164:I164"/>
    <mergeCell ref="A166:I166"/>
    <mergeCell ref="A168:I168"/>
    <mergeCell ref="A170:I170"/>
    <mergeCell ref="A160:I160"/>
    <mergeCell ref="A145:I145"/>
    <mergeCell ref="A146:I146"/>
    <mergeCell ref="A148:I149"/>
    <mergeCell ref="A150:I150"/>
    <mergeCell ref="A151:I151"/>
    <mergeCell ref="A152:I152"/>
    <mergeCell ref="A154:I154"/>
    <mergeCell ref="A155:I155"/>
    <mergeCell ref="A156:I156"/>
    <mergeCell ref="A158:I158"/>
    <mergeCell ref="A159:I159"/>
    <mergeCell ref="A144:I144"/>
    <mergeCell ref="A128:I128"/>
    <mergeCell ref="A129:I129"/>
    <mergeCell ref="A130:I130"/>
    <mergeCell ref="A132:I132"/>
    <mergeCell ref="A133:I133"/>
    <mergeCell ref="A134:I134"/>
    <mergeCell ref="A137:G137"/>
    <mergeCell ref="A138:G138"/>
    <mergeCell ref="A140:I140"/>
    <mergeCell ref="A141:I141"/>
    <mergeCell ref="A142:I142"/>
    <mergeCell ref="A126:I126"/>
    <mergeCell ref="A1:G1"/>
    <mergeCell ref="H1:J1"/>
    <mergeCell ref="A114:I115"/>
    <mergeCell ref="A116:I116"/>
    <mergeCell ref="A117:I117"/>
    <mergeCell ref="A118:I118"/>
    <mergeCell ref="A120:I120"/>
    <mergeCell ref="A121:I121"/>
    <mergeCell ref="A122:I122"/>
    <mergeCell ref="A124:I124"/>
    <mergeCell ref="A125:I125"/>
  </mergeCells>
  <pageMargins left="0.25" right="0.25" top="0.75" bottom="0.75" header="0.3" footer="0.3"/>
  <pageSetup paperSize="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81BC7-7DFF-41A0-A9E9-654F8743CBBA}">
  <dimension ref="A1:H36"/>
  <sheetViews>
    <sheetView zoomScale="90" zoomScaleNormal="90" workbookViewId="0">
      <selection activeCell="H33" sqref="H33"/>
    </sheetView>
  </sheetViews>
  <sheetFormatPr defaultRowHeight="14.4" x14ac:dyDescent="0.3"/>
  <cols>
    <col min="1" max="1" width="13.44140625" bestFit="1" customWidth="1"/>
    <col min="2" max="2" width="24.6640625" customWidth="1"/>
    <col min="3" max="3" width="11" customWidth="1"/>
    <col min="4" max="4" width="15.44140625" customWidth="1"/>
    <col min="5" max="5" width="22.88671875" customWidth="1"/>
    <col min="6" max="6" width="12.21875" customWidth="1"/>
    <col min="7" max="7" width="15.33203125" customWidth="1"/>
    <col min="8" max="8" width="24.77734375" customWidth="1"/>
    <col min="9" max="702" width="6.6640625" bestFit="1" customWidth="1"/>
  </cols>
  <sheetData>
    <row r="1" spans="1:8" ht="58.2" customHeight="1" thickTop="1" thickBot="1" x14ac:dyDescent="0.35">
      <c r="B1" s="50" t="s">
        <v>53</v>
      </c>
      <c r="C1" s="51"/>
      <c r="D1" s="51"/>
      <c r="E1" s="51"/>
      <c r="F1" s="51"/>
      <c r="G1" s="51"/>
    </row>
    <row r="2" spans="1:8" ht="15.6" thickTop="1" thickBot="1" x14ac:dyDescent="0.35">
      <c r="A2" s="52" t="s">
        <v>43</v>
      </c>
      <c r="B2" s="55"/>
      <c r="D2" s="56" t="s">
        <v>42</v>
      </c>
      <c r="E2" s="55"/>
      <c r="G2" s="56" t="s">
        <v>44</v>
      </c>
      <c r="H2" s="53"/>
    </row>
    <row r="3" spans="1:8" x14ac:dyDescent="0.3">
      <c r="A3" s="11" t="s">
        <v>20</v>
      </c>
      <c r="B3" s="12" t="s">
        <v>19</v>
      </c>
      <c r="D3" s="11" t="s">
        <v>20</v>
      </c>
      <c r="E3" s="12" t="s">
        <v>26</v>
      </c>
      <c r="G3" s="11" t="s">
        <v>20</v>
      </c>
      <c r="H3" s="16" t="s">
        <v>19</v>
      </c>
    </row>
    <row r="4" spans="1:8" x14ac:dyDescent="0.3">
      <c r="A4" s="13" t="s">
        <v>10</v>
      </c>
      <c r="B4" s="12">
        <v>88200</v>
      </c>
      <c r="D4" s="13" t="s">
        <v>23</v>
      </c>
      <c r="E4" s="12">
        <v>4980</v>
      </c>
      <c r="G4" s="13" t="s">
        <v>23</v>
      </c>
      <c r="H4" s="12">
        <v>99600</v>
      </c>
    </row>
    <row r="5" spans="1:8" x14ac:dyDescent="0.3">
      <c r="A5" s="13" t="s">
        <v>13</v>
      </c>
      <c r="B5" s="12">
        <v>103400</v>
      </c>
      <c r="D5" s="13" t="s">
        <v>24</v>
      </c>
      <c r="E5" s="12">
        <v>4820</v>
      </c>
      <c r="G5" s="13" t="s">
        <v>24</v>
      </c>
      <c r="H5" s="12">
        <v>96400</v>
      </c>
    </row>
    <row r="6" spans="1:8" x14ac:dyDescent="0.3">
      <c r="A6" s="13" t="s">
        <v>18</v>
      </c>
      <c r="B6" s="12">
        <v>110600</v>
      </c>
      <c r="D6" s="13" t="s">
        <v>25</v>
      </c>
      <c r="E6" s="12">
        <v>5310</v>
      </c>
      <c r="G6" s="13" t="s">
        <v>25</v>
      </c>
      <c r="H6" s="12">
        <v>106200</v>
      </c>
    </row>
    <row r="7" spans="1:8" ht="15" thickBot="1" x14ac:dyDescent="0.35">
      <c r="A7" s="14" t="s">
        <v>21</v>
      </c>
      <c r="B7" s="15">
        <v>302200</v>
      </c>
      <c r="D7" s="14" t="s">
        <v>21</v>
      </c>
      <c r="E7" s="15">
        <v>15110</v>
      </c>
      <c r="G7" s="14" t="s">
        <v>21</v>
      </c>
      <c r="H7" s="15">
        <v>302200</v>
      </c>
    </row>
    <row r="8" spans="1:8" ht="15" thickBot="1" x14ac:dyDescent="0.35"/>
    <row r="9" spans="1:8" ht="15" thickBot="1" x14ac:dyDescent="0.35">
      <c r="A9" s="52" t="s">
        <v>45</v>
      </c>
      <c r="B9" s="53"/>
      <c r="D9" s="52" t="s">
        <v>46</v>
      </c>
      <c r="E9" s="53"/>
      <c r="G9" s="52" t="s">
        <v>47</v>
      </c>
      <c r="H9" s="53"/>
    </row>
    <row r="10" spans="1:8" x14ac:dyDescent="0.3">
      <c r="A10" s="11" t="s">
        <v>20</v>
      </c>
      <c r="B10" s="12" t="s">
        <v>27</v>
      </c>
      <c r="D10" s="11" t="s">
        <v>20</v>
      </c>
      <c r="E10" s="12" t="s">
        <v>26</v>
      </c>
      <c r="G10" s="11" t="s">
        <v>20</v>
      </c>
      <c r="H10" s="12" t="s">
        <v>28</v>
      </c>
    </row>
    <row r="11" spans="1:8" x14ac:dyDescent="0.3">
      <c r="A11" s="13" t="s">
        <v>8</v>
      </c>
      <c r="B11" s="12">
        <v>11466000</v>
      </c>
      <c r="D11" s="13" t="s">
        <v>8</v>
      </c>
      <c r="E11" s="12">
        <v>3570</v>
      </c>
      <c r="G11" s="13" t="s">
        <v>9</v>
      </c>
      <c r="H11" s="12">
        <v>532</v>
      </c>
    </row>
    <row r="12" spans="1:8" x14ac:dyDescent="0.3">
      <c r="A12" s="13" t="s">
        <v>14</v>
      </c>
      <c r="B12" s="12">
        <v>12568000</v>
      </c>
      <c r="D12" s="13" t="s">
        <v>14</v>
      </c>
      <c r="E12" s="12">
        <v>3660</v>
      </c>
      <c r="G12" s="13" t="s">
        <v>17</v>
      </c>
      <c r="H12" s="12">
        <v>598</v>
      </c>
    </row>
    <row r="13" spans="1:8" x14ac:dyDescent="0.3">
      <c r="A13" s="13" t="s">
        <v>16</v>
      </c>
      <c r="B13" s="12">
        <v>16472000</v>
      </c>
      <c r="D13" s="13" t="s">
        <v>16</v>
      </c>
      <c r="E13" s="12">
        <v>4200</v>
      </c>
      <c r="G13" s="13" t="s">
        <v>12</v>
      </c>
      <c r="H13" s="12">
        <v>524</v>
      </c>
    </row>
    <row r="14" spans="1:8" x14ac:dyDescent="0.3">
      <c r="A14" s="13" t="s">
        <v>11</v>
      </c>
      <c r="B14" s="12">
        <v>12020000</v>
      </c>
      <c r="D14" s="13" t="s">
        <v>11</v>
      </c>
      <c r="E14" s="12">
        <v>3680</v>
      </c>
      <c r="G14" s="13" t="s">
        <v>15</v>
      </c>
      <c r="H14" s="12">
        <v>494</v>
      </c>
    </row>
    <row r="15" spans="1:8" ht="15" thickBot="1" x14ac:dyDescent="0.35">
      <c r="A15" s="14" t="s">
        <v>21</v>
      </c>
      <c r="B15" s="15">
        <v>52526000</v>
      </c>
      <c r="D15" s="14" t="s">
        <v>21</v>
      </c>
      <c r="E15" s="15">
        <v>15110</v>
      </c>
      <c r="G15" s="14" t="s">
        <v>21</v>
      </c>
      <c r="H15" s="15">
        <v>2148</v>
      </c>
    </row>
    <row r="16" spans="1:8" ht="15" thickBot="1" x14ac:dyDescent="0.35"/>
    <row r="17" spans="1:8" ht="15" thickBot="1" x14ac:dyDescent="0.35">
      <c r="A17" s="52" t="s">
        <v>43</v>
      </c>
      <c r="B17" s="53"/>
      <c r="D17" s="52" t="s">
        <v>48</v>
      </c>
      <c r="E17" s="53"/>
      <c r="G17" s="52" t="s">
        <v>49</v>
      </c>
      <c r="H17" s="53"/>
    </row>
    <row r="18" spans="1:8" x14ac:dyDescent="0.3">
      <c r="A18" s="11" t="s">
        <v>20</v>
      </c>
      <c r="B18" s="12" t="s">
        <v>19</v>
      </c>
      <c r="D18" s="11" t="s">
        <v>20</v>
      </c>
      <c r="E18" s="12" t="s">
        <v>26</v>
      </c>
      <c r="G18" s="11" t="s">
        <v>20</v>
      </c>
      <c r="H18" s="12" t="s">
        <v>26</v>
      </c>
    </row>
    <row r="19" spans="1:8" x14ac:dyDescent="0.3">
      <c r="A19" s="13" t="s">
        <v>10</v>
      </c>
      <c r="B19" s="12">
        <v>88200</v>
      </c>
      <c r="D19" s="13" t="s">
        <v>10</v>
      </c>
      <c r="E19" s="12">
        <v>4410</v>
      </c>
      <c r="G19" s="13" t="s">
        <v>8</v>
      </c>
      <c r="H19" s="12">
        <v>3570</v>
      </c>
    </row>
    <row r="20" spans="1:8" x14ac:dyDescent="0.3">
      <c r="A20" s="13" t="s">
        <v>13</v>
      </c>
      <c r="B20" s="12">
        <v>103400</v>
      </c>
      <c r="D20" s="13" t="s">
        <v>13</v>
      </c>
      <c r="E20" s="12">
        <v>5170</v>
      </c>
      <c r="G20" s="13" t="s">
        <v>14</v>
      </c>
      <c r="H20" s="12">
        <v>3660</v>
      </c>
    </row>
    <row r="21" spans="1:8" x14ac:dyDescent="0.3">
      <c r="A21" s="13" t="s">
        <v>18</v>
      </c>
      <c r="B21" s="12">
        <v>110600</v>
      </c>
      <c r="D21" s="13" t="s">
        <v>18</v>
      </c>
      <c r="E21" s="12">
        <v>5530</v>
      </c>
      <c r="G21" s="13" t="s">
        <v>16</v>
      </c>
      <c r="H21" s="12">
        <v>4200</v>
      </c>
    </row>
    <row r="22" spans="1:8" ht="15" thickBot="1" x14ac:dyDescent="0.35">
      <c r="A22" s="14" t="s">
        <v>21</v>
      </c>
      <c r="B22" s="15">
        <v>302200</v>
      </c>
      <c r="D22" s="14" t="s">
        <v>21</v>
      </c>
      <c r="E22" s="15">
        <v>15110</v>
      </c>
      <c r="G22" s="13" t="s">
        <v>11</v>
      </c>
      <c r="H22" s="12">
        <v>3680</v>
      </c>
    </row>
    <row r="23" spans="1:8" ht="15" thickBot="1" x14ac:dyDescent="0.35">
      <c r="G23" s="14" t="s">
        <v>21</v>
      </c>
      <c r="H23" s="15">
        <v>15110</v>
      </c>
    </row>
    <row r="24" spans="1:8" ht="15" thickBot="1" x14ac:dyDescent="0.35">
      <c r="A24" s="52" t="s">
        <v>50</v>
      </c>
      <c r="B24" s="53"/>
    </row>
    <row r="25" spans="1:8" ht="15" thickBot="1" x14ac:dyDescent="0.35">
      <c r="A25" s="11" t="s">
        <v>20</v>
      </c>
      <c r="B25" s="12" t="s">
        <v>19</v>
      </c>
      <c r="D25" s="52" t="s">
        <v>51</v>
      </c>
      <c r="E25" s="54"/>
      <c r="F25" s="54"/>
      <c r="G25" s="54"/>
      <c r="H25" s="53"/>
    </row>
    <row r="26" spans="1:8" x14ac:dyDescent="0.3">
      <c r="A26" s="13" t="s">
        <v>23</v>
      </c>
      <c r="B26" s="12">
        <v>99600</v>
      </c>
      <c r="D26" s="17"/>
      <c r="E26" s="18" t="s">
        <v>22</v>
      </c>
      <c r="H26" s="12"/>
    </row>
    <row r="27" spans="1:8" x14ac:dyDescent="0.3">
      <c r="A27" s="13" t="s">
        <v>24</v>
      </c>
      <c r="B27" s="12">
        <v>96400</v>
      </c>
      <c r="D27" s="17"/>
      <c r="E27" t="s">
        <v>10</v>
      </c>
      <c r="F27" t="s">
        <v>13</v>
      </c>
      <c r="G27" t="s">
        <v>18</v>
      </c>
      <c r="H27" s="12" t="s">
        <v>21</v>
      </c>
    </row>
    <row r="28" spans="1:8" ht="15" thickBot="1" x14ac:dyDescent="0.35">
      <c r="A28" s="13" t="s">
        <v>25</v>
      </c>
      <c r="B28" s="12">
        <v>106200</v>
      </c>
      <c r="D28" s="19" t="s">
        <v>19</v>
      </c>
      <c r="E28" s="20">
        <v>88200</v>
      </c>
      <c r="F28" s="20">
        <v>103400</v>
      </c>
      <c r="G28" s="20">
        <v>110600</v>
      </c>
      <c r="H28" s="15">
        <v>302200</v>
      </c>
    </row>
    <row r="29" spans="1:8" ht="15" thickBot="1" x14ac:dyDescent="0.35">
      <c r="A29" s="14" t="s">
        <v>21</v>
      </c>
      <c r="B29" s="15">
        <v>302200</v>
      </c>
    </row>
    <row r="30" spans="1:8" ht="15" thickBot="1" x14ac:dyDescent="0.35"/>
    <row r="31" spans="1:8" ht="15" thickBot="1" x14ac:dyDescent="0.35">
      <c r="A31" s="52" t="s">
        <v>52</v>
      </c>
      <c r="B31" s="53"/>
    </row>
    <row r="32" spans="1:8" x14ac:dyDescent="0.3">
      <c r="A32" s="11" t="s">
        <v>20</v>
      </c>
      <c r="B32" s="12" t="s">
        <v>28</v>
      </c>
    </row>
    <row r="33" spans="1:2" x14ac:dyDescent="0.3">
      <c r="A33" s="13" t="s">
        <v>10</v>
      </c>
      <c r="B33" s="12">
        <v>647</v>
      </c>
    </row>
    <row r="34" spans="1:2" x14ac:dyDescent="0.3">
      <c r="A34" s="13" t="s">
        <v>13</v>
      </c>
      <c r="B34" s="12">
        <v>752</v>
      </c>
    </row>
    <row r="35" spans="1:2" x14ac:dyDescent="0.3">
      <c r="A35" s="13" t="s">
        <v>18</v>
      </c>
      <c r="B35" s="12">
        <v>749</v>
      </c>
    </row>
    <row r="36" spans="1:2" ht="15" thickBot="1" x14ac:dyDescent="0.35">
      <c r="A36" s="14" t="s">
        <v>21</v>
      </c>
      <c r="B36" s="15">
        <v>2148</v>
      </c>
    </row>
  </sheetData>
  <mergeCells count="13">
    <mergeCell ref="D25:H25"/>
    <mergeCell ref="A31:B31"/>
    <mergeCell ref="A2:B2"/>
    <mergeCell ref="D2:E2"/>
    <mergeCell ref="G2:H2"/>
    <mergeCell ref="A9:B9"/>
    <mergeCell ref="D9:E9"/>
    <mergeCell ref="G9:H9"/>
    <mergeCell ref="B1:G1"/>
    <mergeCell ref="A17:B17"/>
    <mergeCell ref="D17:E17"/>
    <mergeCell ref="G17:H17"/>
    <mergeCell ref="A24:B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C75D-D412-400B-BF69-2BA159122FAF}">
  <dimension ref="A1:V147"/>
  <sheetViews>
    <sheetView zoomScale="118" zoomScaleNormal="100" workbookViewId="0">
      <selection activeCell="A10" sqref="A10:D11"/>
    </sheetView>
  </sheetViews>
  <sheetFormatPr defaultColWidth="0" defaultRowHeight="14.4" zeroHeight="1" x14ac:dyDescent="0.3"/>
  <cols>
    <col min="1" max="19" width="8.88671875" customWidth="1"/>
    <col min="20" max="22" width="0" hidden="1" customWidth="1"/>
    <col min="23" max="16384" width="8.88671875" hidden="1"/>
  </cols>
  <sheetData>
    <row r="1" spans="1:22" x14ac:dyDescent="0.3">
      <c r="A1" s="23"/>
      <c r="B1" s="23"/>
      <c r="C1" s="23"/>
      <c r="D1" s="23"/>
      <c r="E1" s="24" t="s">
        <v>29</v>
      </c>
      <c r="F1" s="25"/>
      <c r="G1" s="25"/>
      <c r="H1" s="25"/>
      <c r="I1" s="25"/>
      <c r="J1" s="25"/>
      <c r="K1" s="25"/>
      <c r="L1" s="25"/>
      <c r="M1" s="25"/>
      <c r="N1" s="25"/>
      <c r="O1" s="26" t="s">
        <v>30</v>
      </c>
      <c r="P1" s="27"/>
      <c r="Q1" s="27"/>
      <c r="R1" s="27"/>
      <c r="S1" s="27"/>
    </row>
    <row r="2" spans="1:22" x14ac:dyDescent="0.3">
      <c r="A2" s="23"/>
      <c r="B2" s="23"/>
      <c r="C2" s="23"/>
      <c r="D2" s="23"/>
      <c r="E2" s="25"/>
      <c r="F2" s="25"/>
      <c r="G2" s="25"/>
      <c r="H2" s="25"/>
      <c r="I2" s="25"/>
      <c r="J2" s="25"/>
      <c r="K2" s="25"/>
      <c r="L2" s="25"/>
      <c r="M2" s="25"/>
      <c r="N2" s="25"/>
      <c r="O2" s="27"/>
      <c r="P2" s="27"/>
      <c r="Q2" s="27"/>
      <c r="R2" s="27"/>
      <c r="S2" s="27"/>
    </row>
    <row r="3" spans="1:22" x14ac:dyDescent="0.3">
      <c r="A3" s="23"/>
      <c r="B3" s="23"/>
      <c r="C3" s="23"/>
      <c r="D3" s="23"/>
      <c r="E3" s="25"/>
      <c r="F3" s="25"/>
      <c r="G3" s="25"/>
      <c r="H3" s="25"/>
      <c r="I3" s="25"/>
      <c r="J3" s="25"/>
      <c r="K3" s="25"/>
      <c r="L3" s="25"/>
      <c r="M3" s="25"/>
      <c r="N3" s="25"/>
      <c r="O3" s="27"/>
      <c r="P3" s="27"/>
      <c r="Q3" s="27"/>
      <c r="R3" s="27"/>
      <c r="S3" s="27"/>
    </row>
    <row r="4" spans="1:22" ht="27.6" customHeight="1" x14ac:dyDescent="0.3">
      <c r="A4" s="23"/>
      <c r="B4" s="23"/>
      <c r="C4" s="23"/>
      <c r="D4" s="23"/>
      <c r="E4" s="25"/>
      <c r="F4" s="25"/>
      <c r="G4" s="25"/>
      <c r="H4" s="25"/>
      <c r="I4" s="25"/>
      <c r="J4" s="25"/>
      <c r="K4" s="25"/>
      <c r="L4" s="25"/>
      <c r="M4" s="25"/>
      <c r="N4" s="25"/>
      <c r="O4" s="27"/>
      <c r="P4" s="27"/>
      <c r="Q4" s="27"/>
      <c r="R4" s="27"/>
      <c r="S4" s="27"/>
    </row>
    <row r="5" spans="1:22" x14ac:dyDescent="0.3">
      <c r="A5" s="28" t="s">
        <v>33</v>
      </c>
      <c r="B5" s="28"/>
      <c r="C5" s="28"/>
      <c r="D5" s="28"/>
      <c r="E5" s="30" t="s">
        <v>31</v>
      </c>
      <c r="F5" s="30"/>
      <c r="G5" s="30"/>
      <c r="H5" s="30"/>
      <c r="I5" s="31"/>
      <c r="J5" s="32" t="s">
        <v>34</v>
      </c>
      <c r="K5" s="33"/>
      <c r="L5" s="33"/>
      <c r="M5" s="33"/>
      <c r="N5" s="34"/>
      <c r="O5" s="32" t="s">
        <v>32</v>
      </c>
      <c r="P5" s="33"/>
      <c r="Q5" s="33"/>
      <c r="R5" s="33"/>
      <c r="S5" s="34"/>
    </row>
    <row r="6" spans="1:22" x14ac:dyDescent="0.3">
      <c r="A6" s="28"/>
      <c r="B6" s="28"/>
      <c r="C6" s="28"/>
      <c r="D6" s="28"/>
      <c r="E6" s="30"/>
      <c r="F6" s="30"/>
      <c r="G6" s="30"/>
      <c r="H6" s="30"/>
      <c r="I6" s="31"/>
      <c r="J6" s="32"/>
      <c r="K6" s="33"/>
      <c r="L6" s="33"/>
      <c r="M6" s="33"/>
      <c r="N6" s="34"/>
      <c r="O6" s="32"/>
      <c r="P6" s="33"/>
      <c r="Q6" s="33"/>
      <c r="R6" s="33"/>
      <c r="S6" s="34"/>
    </row>
    <row r="7" spans="1:22" ht="15" customHeight="1" x14ac:dyDescent="0.3">
      <c r="A7" s="29"/>
      <c r="B7" s="29"/>
      <c r="C7" s="29"/>
      <c r="D7" s="29"/>
      <c r="E7" s="30"/>
      <c r="F7" s="30"/>
      <c r="G7" s="30"/>
      <c r="H7" s="30"/>
      <c r="I7" s="31"/>
      <c r="J7" s="32"/>
      <c r="K7" s="33"/>
      <c r="L7" s="33"/>
      <c r="M7" s="33"/>
      <c r="N7" s="34"/>
      <c r="O7" s="32"/>
      <c r="P7" s="33"/>
      <c r="Q7" s="33"/>
      <c r="R7" s="33"/>
      <c r="S7" s="34"/>
    </row>
    <row r="8" spans="1:22" ht="14.4" customHeight="1" x14ac:dyDescent="0.3">
      <c r="A8" s="41">
        <f>MAX('Pivot Tables'!E4:E6)</f>
        <v>5310</v>
      </c>
      <c r="B8" s="41"/>
      <c r="C8" s="41"/>
      <c r="D8" s="42"/>
      <c r="E8" s="35" t="str">
        <f>_xlfn.XLOOKUP(MAX(Data!F21:F110),Data!F21:F110,Data!D21:D110,"No Product",0,1)</f>
        <v>Product Z</v>
      </c>
      <c r="F8" s="36"/>
      <c r="G8" s="36"/>
      <c r="H8" s="36"/>
      <c r="I8" s="37"/>
      <c r="J8" s="38" t="str">
        <f>_xlfn.XLOOKUP(MAX(Data!J21:J110),Data!J21:J110,Data!B21:B110,"No such Region",0,1)</f>
        <v>South</v>
      </c>
      <c r="K8" s="39"/>
      <c r="L8" s="39"/>
      <c r="M8" s="39"/>
      <c r="N8" s="40"/>
      <c r="O8" s="38" t="str">
        <f>_xlfn.XLOOKUP(MAX(Data!F21:F110),Data!F21:F110,Data!C21:C110,"No one",0,1)</f>
        <v>Meera Reddy</v>
      </c>
      <c r="P8" s="39"/>
      <c r="Q8" s="39"/>
      <c r="R8" s="39"/>
      <c r="S8" s="40"/>
    </row>
    <row r="9" spans="1:22" ht="14.4" customHeight="1" x14ac:dyDescent="0.3">
      <c r="A9" s="41"/>
      <c r="B9" s="41"/>
      <c r="C9" s="41"/>
      <c r="D9" s="42"/>
      <c r="E9" s="35"/>
      <c r="F9" s="36"/>
      <c r="G9" s="36"/>
      <c r="H9" s="36"/>
      <c r="I9" s="37"/>
      <c r="J9" s="38"/>
      <c r="K9" s="39"/>
      <c r="L9" s="39"/>
      <c r="M9" s="39"/>
      <c r="N9" s="40"/>
      <c r="O9" s="38"/>
      <c r="P9" s="39"/>
      <c r="Q9" s="39"/>
      <c r="R9" s="39"/>
      <c r="S9" s="40"/>
    </row>
    <row r="10" spans="1:22" ht="14.4" customHeight="1" x14ac:dyDescent="0.3">
      <c r="A10" s="41" t="str">
        <f>_xlfn.XLOOKUP(MAX('Pivot Tables'!E4:E6),'Pivot Tables'!E4:E6,'Pivot Tables'!D4:D6,"No Such Month",0,1)</f>
        <v>Mar</v>
      </c>
      <c r="B10" s="41"/>
      <c r="C10" s="41"/>
      <c r="D10" s="42"/>
      <c r="E10" s="35"/>
      <c r="F10" s="36"/>
      <c r="G10" s="36"/>
      <c r="H10" s="36"/>
      <c r="I10" s="37"/>
      <c r="J10" s="38"/>
      <c r="K10" s="39"/>
      <c r="L10" s="39"/>
      <c r="M10" s="39"/>
      <c r="N10" s="40"/>
      <c r="O10" s="38"/>
      <c r="P10" s="39"/>
      <c r="Q10" s="39"/>
      <c r="R10" s="39"/>
      <c r="S10" s="40"/>
    </row>
    <row r="11" spans="1:22" ht="14.4" customHeight="1" x14ac:dyDescent="0.3">
      <c r="A11" s="41"/>
      <c r="B11" s="41"/>
      <c r="C11" s="41"/>
      <c r="D11" s="42"/>
      <c r="E11" s="9"/>
      <c r="F11" s="9"/>
      <c r="G11" s="9"/>
      <c r="H11" s="9"/>
      <c r="I11" s="10"/>
      <c r="J11" s="8"/>
      <c r="K11" s="9"/>
      <c r="L11" s="9"/>
      <c r="M11" s="9"/>
      <c r="N11" s="10"/>
      <c r="O11" s="8"/>
      <c r="P11" s="9"/>
      <c r="Q11" s="9"/>
      <c r="R11" s="9"/>
      <c r="S11" s="10"/>
    </row>
    <row r="12" spans="1:22" x14ac:dyDescent="0.3">
      <c r="A12" s="7"/>
      <c r="I12" s="7"/>
      <c r="J12" s="7"/>
      <c r="R12" s="7"/>
      <c r="S12" s="7"/>
    </row>
    <row r="13" spans="1:22" x14ac:dyDescent="0.3">
      <c r="A13" s="7"/>
      <c r="I13" s="7"/>
      <c r="J13" s="7"/>
      <c r="R13" s="7"/>
      <c r="S13" s="7"/>
    </row>
    <row r="14" spans="1:22" x14ac:dyDescent="0.3">
      <c r="A14" s="7"/>
      <c r="I14" s="7"/>
      <c r="J14" s="7"/>
      <c r="R14" s="7"/>
      <c r="S14" s="7"/>
    </row>
    <row r="15" spans="1:22" x14ac:dyDescent="0.3">
      <c r="A15" s="7"/>
      <c r="I15" s="7"/>
      <c r="J15" s="7"/>
      <c r="R15" s="7"/>
      <c r="S15" s="7"/>
      <c r="V15" t="s">
        <v>41</v>
      </c>
    </row>
    <row r="16" spans="1:22" x14ac:dyDescent="0.3">
      <c r="A16" s="7"/>
      <c r="I16" s="7"/>
      <c r="J16" s="7"/>
      <c r="R16" s="7"/>
      <c r="S16" s="7"/>
    </row>
    <row r="17" spans="1:19" x14ac:dyDescent="0.3">
      <c r="A17" s="7"/>
      <c r="I17" s="7"/>
      <c r="J17" s="7"/>
      <c r="R17" s="7"/>
      <c r="S17" s="7"/>
    </row>
    <row r="18" spans="1:19" x14ac:dyDescent="0.3">
      <c r="A18" s="7"/>
      <c r="I18" s="7"/>
      <c r="J18" s="7"/>
      <c r="R18" s="7"/>
      <c r="S18" s="7"/>
    </row>
    <row r="19" spans="1:19" x14ac:dyDescent="0.3">
      <c r="A19" s="7"/>
      <c r="I19" s="7"/>
      <c r="J19" s="7"/>
      <c r="R19" s="7"/>
      <c r="S19" s="7"/>
    </row>
    <row r="20" spans="1:19" x14ac:dyDescent="0.3">
      <c r="A20" s="7"/>
      <c r="I20" s="7"/>
      <c r="J20" s="7"/>
      <c r="R20" s="7"/>
      <c r="S20" s="7"/>
    </row>
    <row r="21" spans="1:19" x14ac:dyDescent="0.3">
      <c r="A21" s="7"/>
      <c r="I21" s="7"/>
      <c r="J21" s="7"/>
      <c r="R21" s="7"/>
      <c r="S21" s="7"/>
    </row>
    <row r="22" spans="1:19" x14ac:dyDescent="0.3">
      <c r="A22" s="7"/>
      <c r="I22" s="7"/>
      <c r="J22" s="7"/>
      <c r="R22" s="7"/>
      <c r="S22" s="7"/>
    </row>
    <row r="23" spans="1:19" x14ac:dyDescent="0.3">
      <c r="A23" s="7"/>
      <c r="I23" s="7"/>
      <c r="J23" s="7"/>
      <c r="R23" s="7"/>
      <c r="S23" s="7"/>
    </row>
    <row r="24" spans="1:19" x14ac:dyDescent="0.3">
      <c r="A24" s="7"/>
      <c r="I24" s="7"/>
      <c r="J24" s="7"/>
      <c r="R24" s="7"/>
      <c r="S24" s="7"/>
    </row>
    <row r="25" spans="1:19" x14ac:dyDescent="0.3">
      <c r="A25" s="7"/>
      <c r="I25" s="7"/>
      <c r="J25" s="7"/>
      <c r="R25" s="7"/>
      <c r="S25" s="7"/>
    </row>
    <row r="26" spans="1:19" x14ac:dyDescent="0.3">
      <c r="A26" s="7"/>
      <c r="I26" s="7"/>
      <c r="J26" s="7"/>
      <c r="R26" s="7"/>
      <c r="S26" s="7"/>
    </row>
    <row r="27" spans="1:19" x14ac:dyDescent="0.3">
      <c r="A27" s="7"/>
      <c r="I27" s="7"/>
      <c r="J27" s="7"/>
      <c r="R27" s="7"/>
      <c r="S27" s="7"/>
    </row>
    <row r="28" spans="1:19" x14ac:dyDescent="0.3">
      <c r="A28" s="7"/>
      <c r="I28" s="7"/>
      <c r="J28" s="7"/>
      <c r="R28" s="7"/>
      <c r="S28" s="7"/>
    </row>
    <row r="29" spans="1:19" x14ac:dyDescent="0.3">
      <c r="A29" s="7"/>
      <c r="I29" s="7"/>
      <c r="J29" s="7"/>
      <c r="R29" s="7"/>
      <c r="S29" s="7"/>
    </row>
    <row r="30" spans="1:19" x14ac:dyDescent="0.3">
      <c r="A30" s="7"/>
      <c r="I30" s="7"/>
      <c r="J30" s="7"/>
      <c r="R30" s="7"/>
      <c r="S30" s="7"/>
    </row>
    <row r="31" spans="1:19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 x14ac:dyDescent="0.3">
      <c r="A35" s="7"/>
      <c r="I35" s="7"/>
      <c r="J35" s="7"/>
      <c r="R35" s="7"/>
      <c r="S35" s="7"/>
    </row>
    <row r="36" spans="1:19" x14ac:dyDescent="0.3">
      <c r="A36" s="7"/>
      <c r="I36" s="7"/>
      <c r="J36" s="7"/>
      <c r="R36" s="7"/>
      <c r="S36" s="7"/>
    </row>
    <row r="37" spans="1:19" x14ac:dyDescent="0.3">
      <c r="A37" s="7"/>
      <c r="I37" s="7"/>
      <c r="J37" s="7"/>
      <c r="R37" s="7"/>
      <c r="S37" s="7"/>
    </row>
    <row r="38" spans="1:19" x14ac:dyDescent="0.3">
      <c r="A38" s="7"/>
      <c r="I38" s="7"/>
      <c r="J38" s="7"/>
      <c r="R38" s="7"/>
      <c r="S38" s="7"/>
    </row>
    <row r="39" spans="1:19" x14ac:dyDescent="0.3">
      <c r="A39" s="7"/>
      <c r="I39" s="7"/>
      <c r="J39" s="7"/>
      <c r="R39" s="7"/>
      <c r="S39" s="7"/>
    </row>
    <row r="40" spans="1:19" x14ac:dyDescent="0.3">
      <c r="A40" s="7"/>
      <c r="I40" s="7"/>
      <c r="J40" s="7"/>
      <c r="R40" s="7"/>
      <c r="S40" s="7"/>
    </row>
    <row r="41" spans="1:19" x14ac:dyDescent="0.3">
      <c r="A41" s="7"/>
      <c r="I41" s="7"/>
      <c r="J41" s="7"/>
      <c r="R41" s="7"/>
      <c r="S41" s="7"/>
    </row>
    <row r="42" spans="1:19" x14ac:dyDescent="0.3">
      <c r="A42" s="7"/>
      <c r="I42" s="7"/>
      <c r="J42" s="7"/>
      <c r="R42" s="7"/>
      <c r="S42" s="7"/>
    </row>
    <row r="43" spans="1:19" x14ac:dyDescent="0.3">
      <c r="A43" s="7"/>
      <c r="I43" s="7"/>
      <c r="J43" s="7"/>
      <c r="R43" s="7"/>
      <c r="S43" s="7"/>
    </row>
    <row r="44" spans="1:19" x14ac:dyDescent="0.3">
      <c r="A44" s="7"/>
      <c r="I44" s="7"/>
      <c r="J44" s="7"/>
      <c r="R44" s="7"/>
      <c r="S44" s="7"/>
    </row>
    <row r="45" spans="1:19" x14ac:dyDescent="0.3">
      <c r="A45" s="7"/>
      <c r="I45" s="7"/>
      <c r="J45" s="7"/>
      <c r="R45" s="7"/>
      <c r="S45" s="7"/>
    </row>
    <row r="46" spans="1:19" x14ac:dyDescent="0.3">
      <c r="A46" s="7"/>
      <c r="I46" s="7"/>
      <c r="J46" s="7"/>
      <c r="R46" s="7"/>
      <c r="S46" s="7"/>
    </row>
    <row r="47" spans="1:19" x14ac:dyDescent="0.3">
      <c r="A47" s="7"/>
      <c r="I47" s="7"/>
      <c r="J47" s="7"/>
      <c r="R47" s="7"/>
      <c r="S47" s="7"/>
    </row>
    <row r="48" spans="1:19" x14ac:dyDescent="0.3">
      <c r="A48" s="7"/>
      <c r="I48" s="7"/>
      <c r="J48" s="7"/>
      <c r="R48" s="7"/>
      <c r="S48" s="7"/>
    </row>
    <row r="49" spans="1:19" x14ac:dyDescent="0.3">
      <c r="A49" s="7"/>
      <c r="I49" s="7"/>
      <c r="J49" s="7"/>
      <c r="R49" s="7"/>
      <c r="S49" s="7"/>
    </row>
    <row r="50" spans="1:19" x14ac:dyDescent="0.3">
      <c r="A50" s="7"/>
      <c r="I50" s="7"/>
      <c r="J50" s="7"/>
      <c r="R50" s="7"/>
      <c r="S50" s="7"/>
    </row>
    <row r="51" spans="1:19" x14ac:dyDescent="0.3">
      <c r="A51" s="7"/>
      <c r="I51" s="7"/>
      <c r="J51" s="7"/>
      <c r="R51" s="7"/>
      <c r="S51" s="7"/>
    </row>
    <row r="52" spans="1:19" x14ac:dyDescent="0.3">
      <c r="A52" s="7"/>
      <c r="I52" s="7"/>
      <c r="J52" s="7"/>
      <c r="R52" s="7"/>
      <c r="S52" s="7"/>
    </row>
    <row r="53" spans="1:19" x14ac:dyDescent="0.3">
      <c r="A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R57" s="7"/>
      <c r="S57" s="7"/>
    </row>
    <row r="58" spans="1:19" x14ac:dyDescent="0.3">
      <c r="A58" s="7"/>
      <c r="I58" s="7"/>
      <c r="J58" s="7"/>
      <c r="R58" s="7"/>
      <c r="S58" s="7"/>
    </row>
    <row r="59" spans="1:19" x14ac:dyDescent="0.3">
      <c r="A59" s="7"/>
      <c r="I59" s="7"/>
      <c r="J59" s="7"/>
      <c r="R59" s="7"/>
      <c r="S59" s="7"/>
    </row>
    <row r="60" spans="1:19" x14ac:dyDescent="0.3">
      <c r="A60" s="7"/>
      <c r="I60" s="7"/>
      <c r="J60" s="7"/>
      <c r="R60" s="7"/>
      <c r="S60" s="7"/>
    </row>
    <row r="61" spans="1:19" x14ac:dyDescent="0.3">
      <c r="A61" s="7"/>
      <c r="I61" s="7"/>
      <c r="J61" s="7"/>
      <c r="R61" s="7"/>
      <c r="S61" s="7"/>
    </row>
    <row r="62" spans="1:19" x14ac:dyDescent="0.3">
      <c r="A62" s="7"/>
      <c r="I62" s="7"/>
      <c r="J62" s="7"/>
      <c r="R62" s="7"/>
      <c r="S62" s="7"/>
    </row>
    <row r="63" spans="1:19" x14ac:dyDescent="0.3">
      <c r="A63" s="7"/>
      <c r="I63" s="7"/>
      <c r="J63" s="7"/>
      <c r="R63" s="7"/>
      <c r="S63" s="7"/>
    </row>
    <row r="64" spans="1:19" x14ac:dyDescent="0.3">
      <c r="A64" s="7"/>
      <c r="I64" s="7"/>
      <c r="J64" s="7"/>
      <c r="R64" s="7"/>
      <c r="S64" s="7"/>
    </row>
    <row r="65" spans="1:19" x14ac:dyDescent="0.3">
      <c r="A65" s="7"/>
      <c r="I65" s="7"/>
      <c r="J65" s="7"/>
      <c r="R65" s="7"/>
      <c r="S65" s="7"/>
    </row>
    <row r="66" spans="1:19" x14ac:dyDescent="0.3">
      <c r="A66" s="7"/>
      <c r="I66" s="7"/>
      <c r="J66" s="7"/>
      <c r="R66" s="7"/>
      <c r="S66" s="7"/>
    </row>
    <row r="67" spans="1:19" x14ac:dyDescent="0.3">
      <c r="A67" s="7"/>
      <c r="I67" s="7"/>
      <c r="J67" s="7"/>
      <c r="R67" s="7"/>
      <c r="S67" s="7"/>
    </row>
    <row r="68" spans="1:19" x14ac:dyDescent="0.3">
      <c r="A68" s="7"/>
      <c r="I68" s="7"/>
      <c r="J68" s="7"/>
      <c r="R68" s="7"/>
      <c r="S68" s="7"/>
    </row>
    <row r="69" spans="1:19" x14ac:dyDescent="0.3">
      <c r="A69" s="7"/>
      <c r="I69" s="7"/>
      <c r="J69" s="7"/>
      <c r="R69" s="7"/>
      <c r="S69" s="7"/>
    </row>
    <row r="70" spans="1:19" x14ac:dyDescent="0.3">
      <c r="A70" s="7"/>
      <c r="I70" s="7"/>
      <c r="J70" s="7"/>
      <c r="R70" s="7"/>
      <c r="S70" s="7"/>
    </row>
    <row r="71" spans="1:19" x14ac:dyDescent="0.3">
      <c r="A71" s="7"/>
      <c r="I71" s="7"/>
      <c r="J71" s="7"/>
      <c r="R71" s="7"/>
      <c r="S71" s="7"/>
    </row>
    <row r="72" spans="1:19" x14ac:dyDescent="0.3">
      <c r="A72" s="7"/>
      <c r="I72" s="7"/>
      <c r="J72" s="7"/>
      <c r="R72" s="7"/>
      <c r="S72" s="7"/>
    </row>
    <row r="73" spans="1:19" x14ac:dyDescent="0.3">
      <c r="A73" s="7"/>
      <c r="I73" s="7"/>
      <c r="J73" s="7"/>
      <c r="R73" s="7"/>
      <c r="S73" s="7"/>
    </row>
    <row r="74" spans="1:19" x14ac:dyDescent="0.3">
      <c r="A74" s="7"/>
      <c r="I74" s="7"/>
      <c r="J74" s="7"/>
      <c r="R74" s="7"/>
      <c r="S74" s="7"/>
    </row>
    <row r="75" spans="1:19" x14ac:dyDescent="0.3">
      <c r="A75" s="7"/>
      <c r="I75" s="7"/>
      <c r="J75" s="7"/>
      <c r="R75" s="7"/>
      <c r="S75" s="7"/>
    </row>
    <row r="76" spans="1:19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1:19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spans="1:19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1:19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1:19" x14ac:dyDescent="0.3">
      <c r="A80" s="7"/>
      <c r="I80" s="7"/>
      <c r="J80" s="7"/>
      <c r="R80" s="7"/>
      <c r="S80" s="7"/>
    </row>
    <row r="81" spans="1:19" x14ac:dyDescent="0.3">
      <c r="A81" s="7"/>
      <c r="I81" s="7"/>
      <c r="J81" s="7"/>
      <c r="R81" s="7"/>
      <c r="S81" s="7"/>
    </row>
    <row r="82" spans="1:19" x14ac:dyDescent="0.3">
      <c r="A82" s="7"/>
      <c r="I82" s="7"/>
      <c r="J82" s="7"/>
      <c r="R82" s="7"/>
      <c r="S82" s="7"/>
    </row>
    <row r="83" spans="1:19" x14ac:dyDescent="0.3">
      <c r="A83" s="7"/>
      <c r="I83" s="7"/>
      <c r="J83" s="7"/>
      <c r="R83" s="7"/>
      <c r="S83" s="7"/>
    </row>
    <row r="84" spans="1:19" x14ac:dyDescent="0.3">
      <c r="A84" s="7"/>
      <c r="I84" s="7"/>
      <c r="J84" s="7"/>
      <c r="R84" s="7"/>
      <c r="S84" s="7"/>
    </row>
    <row r="85" spans="1:19" x14ac:dyDescent="0.3">
      <c r="A85" s="7"/>
      <c r="I85" s="7"/>
      <c r="J85" s="7"/>
      <c r="R85" s="7"/>
      <c r="S85" s="7"/>
    </row>
    <row r="86" spans="1:19" x14ac:dyDescent="0.3">
      <c r="A86" s="7"/>
      <c r="I86" s="7"/>
      <c r="J86" s="7"/>
      <c r="R86" s="7"/>
      <c r="S86" s="7"/>
    </row>
    <row r="87" spans="1:19" x14ac:dyDescent="0.3">
      <c r="A87" s="7"/>
      <c r="I87" s="7"/>
      <c r="J87" s="7"/>
      <c r="R87" s="7"/>
      <c r="S87" s="7"/>
    </row>
    <row r="88" spans="1:19" x14ac:dyDescent="0.3">
      <c r="A88" s="7"/>
      <c r="I88" s="7"/>
      <c r="J88" s="7"/>
      <c r="R88" s="7"/>
      <c r="S88" s="7"/>
    </row>
    <row r="89" spans="1:19" x14ac:dyDescent="0.3">
      <c r="A89" s="7"/>
      <c r="I89" s="7"/>
      <c r="J89" s="7"/>
      <c r="R89" s="7"/>
      <c r="S89" s="7"/>
    </row>
    <row r="90" spans="1:19" x14ac:dyDescent="0.3">
      <c r="A90" s="7"/>
      <c r="I90" s="7"/>
      <c r="J90" s="7"/>
      <c r="R90" s="7"/>
      <c r="S90" s="7"/>
    </row>
    <row r="91" spans="1:19" x14ac:dyDescent="0.3">
      <c r="A91" s="7"/>
      <c r="I91" s="7"/>
      <c r="J91" s="7"/>
      <c r="R91" s="7"/>
      <c r="S91" s="7"/>
    </row>
    <row r="92" spans="1:19" x14ac:dyDescent="0.3">
      <c r="A92" s="7"/>
      <c r="I92" s="7"/>
      <c r="J92" s="7"/>
      <c r="R92" s="7"/>
      <c r="S92" s="7"/>
    </row>
    <row r="93" spans="1:19" x14ac:dyDescent="0.3">
      <c r="A93" s="7"/>
      <c r="I93" s="7"/>
      <c r="J93" s="7"/>
      <c r="R93" s="7"/>
      <c r="S93" s="7"/>
    </row>
    <row r="94" spans="1:19" x14ac:dyDescent="0.3">
      <c r="A94" s="7"/>
      <c r="I94" s="7"/>
      <c r="J94" s="7"/>
      <c r="R94" s="7"/>
      <c r="S94" s="7"/>
    </row>
    <row r="95" spans="1:19" x14ac:dyDescent="0.3">
      <c r="A95" s="7"/>
      <c r="I95" s="7"/>
      <c r="J95" s="7"/>
      <c r="R95" s="7"/>
      <c r="S95" s="7"/>
    </row>
    <row r="96" spans="1:19" x14ac:dyDescent="0.3">
      <c r="A96" s="7"/>
      <c r="I96" s="7"/>
      <c r="J96" s="7"/>
      <c r="R96" s="7"/>
      <c r="S96" s="7"/>
    </row>
    <row r="97" spans="1:19" x14ac:dyDescent="0.3">
      <c r="A97" s="7"/>
      <c r="I97" s="7"/>
      <c r="J97" s="7"/>
      <c r="R97" s="7"/>
      <c r="S97" s="7"/>
    </row>
    <row r="98" spans="1:19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 x14ac:dyDescent="0.3">
      <c r="A103" s="7"/>
      <c r="I103" s="7"/>
      <c r="J103" s="7"/>
      <c r="R103" s="7"/>
      <c r="S103" s="7"/>
    </row>
    <row r="104" spans="1:19" x14ac:dyDescent="0.3">
      <c r="A104" s="7"/>
      <c r="I104" s="7"/>
      <c r="J104" s="7"/>
      <c r="R104" s="7"/>
      <c r="S104" s="7"/>
    </row>
    <row r="105" spans="1:19" x14ac:dyDescent="0.3">
      <c r="A105" s="7"/>
      <c r="I105" s="7"/>
      <c r="J105" s="7"/>
      <c r="R105" s="7"/>
      <c r="S105" s="7"/>
    </row>
    <row r="106" spans="1:19" x14ac:dyDescent="0.3">
      <c r="A106" s="7"/>
      <c r="I106" s="7"/>
      <c r="J106" s="7"/>
      <c r="R106" s="7"/>
      <c r="S106" s="7"/>
    </row>
    <row r="107" spans="1:19" x14ac:dyDescent="0.3">
      <c r="A107" s="7"/>
      <c r="I107" s="7"/>
      <c r="J107" s="7"/>
      <c r="R107" s="7"/>
      <c r="S107" s="7"/>
    </row>
    <row r="108" spans="1:19" x14ac:dyDescent="0.3">
      <c r="A108" s="7"/>
      <c r="I108" s="7"/>
      <c r="J108" s="7"/>
      <c r="R108" s="7"/>
      <c r="S108" s="7"/>
    </row>
    <row r="109" spans="1:19" x14ac:dyDescent="0.3">
      <c r="A109" s="7"/>
      <c r="I109" s="7"/>
      <c r="J109" s="7"/>
      <c r="R109" s="7"/>
      <c r="S109" s="7"/>
    </row>
    <row r="110" spans="1:19" x14ac:dyDescent="0.3">
      <c r="A110" s="7"/>
      <c r="I110" s="7"/>
      <c r="J110" s="7"/>
      <c r="R110" s="7"/>
      <c r="S110" s="7"/>
    </row>
    <row r="111" spans="1:19" x14ac:dyDescent="0.3">
      <c r="A111" s="7"/>
      <c r="I111" s="7"/>
      <c r="J111" s="7"/>
      <c r="R111" s="7"/>
      <c r="S111" s="7"/>
    </row>
    <row r="112" spans="1:19" x14ac:dyDescent="0.3">
      <c r="A112" s="7"/>
      <c r="I112" s="7"/>
      <c r="J112" s="7"/>
      <c r="R112" s="7"/>
      <c r="S112" s="7"/>
    </row>
    <row r="113" spans="1:19" x14ac:dyDescent="0.3">
      <c r="A113" s="7"/>
      <c r="I113" s="7"/>
      <c r="J113" s="7"/>
      <c r="R113" s="7"/>
      <c r="S113" s="7"/>
    </row>
    <row r="114" spans="1:19" x14ac:dyDescent="0.3">
      <c r="A114" s="7"/>
      <c r="I114" s="7"/>
      <c r="J114" s="7"/>
      <c r="R114" s="7"/>
      <c r="S114" s="7"/>
    </row>
    <row r="115" spans="1:19" x14ac:dyDescent="0.3">
      <c r="A115" s="7"/>
      <c r="I115" s="7"/>
      <c r="J115" s="7"/>
      <c r="R115" s="7"/>
      <c r="S115" s="7"/>
    </row>
    <row r="116" spans="1:19" x14ac:dyDescent="0.3">
      <c r="A116" s="7"/>
      <c r="I116" s="7"/>
      <c r="J116" s="7"/>
      <c r="R116" s="7"/>
      <c r="S116" s="7"/>
    </row>
    <row r="117" spans="1:19" x14ac:dyDescent="0.3">
      <c r="A117" s="7"/>
      <c r="I117" s="7"/>
      <c r="J117" s="7"/>
      <c r="R117" s="7"/>
      <c r="S117" s="7"/>
    </row>
    <row r="118" spans="1:19" x14ac:dyDescent="0.3">
      <c r="A118" s="7"/>
      <c r="I118" s="7"/>
      <c r="J118" s="7"/>
      <c r="R118" s="7"/>
      <c r="S118" s="7"/>
    </row>
    <row r="119" spans="1:19" x14ac:dyDescent="0.3">
      <c r="A119" s="7"/>
      <c r="I119" s="7"/>
      <c r="J119" s="7"/>
      <c r="R119" s="7"/>
      <c r="S119" s="7"/>
    </row>
    <row r="120" spans="1:19" x14ac:dyDescent="0.3">
      <c r="A120" s="7"/>
      <c r="I120" s="7"/>
      <c r="J120" s="7"/>
      <c r="R120" s="7"/>
      <c r="S120" s="7"/>
    </row>
    <row r="121" spans="1:19" x14ac:dyDescent="0.3">
      <c r="A121" s="7"/>
      <c r="I121" s="7"/>
      <c r="J121" s="7"/>
      <c r="R121" s="7"/>
      <c r="S121" s="7"/>
    </row>
    <row r="122" spans="1:19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 x14ac:dyDescent="0.3">
      <c r="A127" s="7"/>
      <c r="I127" s="7"/>
      <c r="J127" s="7"/>
      <c r="R127" s="7"/>
      <c r="S127" s="7"/>
    </row>
    <row r="128" spans="1:19" x14ac:dyDescent="0.3">
      <c r="A128" s="7"/>
      <c r="I128" s="7"/>
      <c r="J128" s="7"/>
      <c r="R128" s="7"/>
      <c r="S128" s="7"/>
    </row>
    <row r="129" spans="1:19" x14ac:dyDescent="0.3">
      <c r="A129" s="7"/>
      <c r="I129" s="7"/>
      <c r="J129" s="7"/>
      <c r="R129" s="7"/>
      <c r="S129" s="7"/>
    </row>
    <row r="130" spans="1:19" x14ac:dyDescent="0.3">
      <c r="A130" s="7"/>
      <c r="I130" s="7"/>
      <c r="J130" s="7"/>
      <c r="R130" s="7"/>
      <c r="S130" s="7"/>
    </row>
    <row r="131" spans="1:19" x14ac:dyDescent="0.3">
      <c r="A131" s="7"/>
      <c r="I131" s="7"/>
      <c r="J131" s="7"/>
      <c r="R131" s="7"/>
      <c r="S131" s="7"/>
    </row>
    <row r="132" spans="1:19" x14ac:dyDescent="0.3">
      <c r="A132" s="7"/>
      <c r="I132" s="7"/>
      <c r="J132" s="7"/>
      <c r="R132" s="7"/>
      <c r="S132" s="7"/>
    </row>
    <row r="133" spans="1:19" x14ac:dyDescent="0.3">
      <c r="A133" s="7"/>
      <c r="I133" s="7"/>
      <c r="J133" s="7"/>
      <c r="R133" s="7"/>
      <c r="S133" s="7"/>
    </row>
    <row r="134" spans="1:19" x14ac:dyDescent="0.3">
      <c r="A134" s="7"/>
      <c r="I134" s="7"/>
      <c r="J134" s="7"/>
      <c r="R134" s="7"/>
      <c r="S134" s="7"/>
    </row>
    <row r="135" spans="1:19" x14ac:dyDescent="0.3">
      <c r="A135" s="7"/>
      <c r="I135" s="7"/>
      <c r="J135" s="7"/>
      <c r="R135" s="7"/>
      <c r="S135" s="7"/>
    </row>
    <row r="136" spans="1:19" x14ac:dyDescent="0.3">
      <c r="A136" s="7"/>
      <c r="I136" s="7"/>
      <c r="J136" s="7"/>
      <c r="R136" s="7"/>
      <c r="S136" s="7"/>
    </row>
    <row r="137" spans="1:19" x14ac:dyDescent="0.3">
      <c r="A137" s="7"/>
      <c r="I137" s="7"/>
      <c r="J137" s="7"/>
      <c r="R137" s="7"/>
      <c r="S137" s="7"/>
    </row>
    <row r="138" spans="1:19" x14ac:dyDescent="0.3">
      <c r="A138" s="7"/>
      <c r="I138" s="7"/>
      <c r="J138" s="7"/>
      <c r="R138" s="7"/>
      <c r="S138" s="7"/>
    </row>
    <row r="139" spans="1:19" x14ac:dyDescent="0.3">
      <c r="A139" s="7"/>
      <c r="I139" s="7"/>
      <c r="J139" s="7"/>
      <c r="R139" s="7"/>
      <c r="S139" s="7"/>
    </row>
    <row r="140" spans="1:19" x14ac:dyDescent="0.3">
      <c r="A140" s="7"/>
      <c r="I140" s="7"/>
      <c r="J140" s="7"/>
      <c r="R140" s="7"/>
      <c r="S140" s="7"/>
    </row>
    <row r="141" spans="1:19" x14ac:dyDescent="0.3">
      <c r="A141" s="7"/>
      <c r="I141" s="7"/>
      <c r="J141" s="7"/>
      <c r="R141" s="7"/>
      <c r="S141" s="7"/>
    </row>
    <row r="142" spans="1:19" x14ac:dyDescent="0.3">
      <c r="A142" s="7"/>
      <c r="I142" s="7"/>
      <c r="J142" s="7"/>
      <c r="R142" s="7"/>
      <c r="S142" s="7"/>
    </row>
    <row r="143" spans="1:19" x14ac:dyDescent="0.3">
      <c r="A143" s="7"/>
      <c r="I143" s="7"/>
      <c r="J143" s="7"/>
      <c r="R143" s="7"/>
      <c r="S143" s="7"/>
    </row>
    <row r="144" spans="1:19" x14ac:dyDescent="0.3">
      <c r="A144" s="7"/>
      <c r="I144" s="7"/>
      <c r="J144" s="7"/>
      <c r="R144" s="7"/>
      <c r="S144" s="7"/>
    </row>
    <row r="145" spans="1:19" x14ac:dyDescent="0.3">
      <c r="A145" s="7"/>
      <c r="I145" s="7"/>
      <c r="J145" s="7"/>
      <c r="R145" s="7"/>
      <c r="S145" s="7"/>
    </row>
    <row r="146" spans="1:19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</sheetData>
  <mergeCells count="12">
    <mergeCell ref="E8:I10"/>
    <mergeCell ref="J8:N10"/>
    <mergeCell ref="A8:D9"/>
    <mergeCell ref="A10:D11"/>
    <mergeCell ref="O8:S10"/>
    <mergeCell ref="A1:D4"/>
    <mergeCell ref="E1:N4"/>
    <mergeCell ref="O1:S4"/>
    <mergeCell ref="A5:D7"/>
    <mergeCell ref="E5:I7"/>
    <mergeCell ref="J5:N7"/>
    <mergeCell ref="O5:S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</dc:creator>
  <cp:lastModifiedBy>Indira Priya Dharshini</cp:lastModifiedBy>
  <cp:lastPrinted>2024-11-04T08:13:22Z</cp:lastPrinted>
  <dcterms:created xsi:type="dcterms:W3CDTF">2015-06-05T18:17:20Z</dcterms:created>
  <dcterms:modified xsi:type="dcterms:W3CDTF">2026-02-11T04:36:47Z</dcterms:modified>
</cp:coreProperties>
</file>